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130" windowHeight="10460" tabRatio="637" firstSheet="12" activeTab="13"/>
  </bookViews>
  <sheets>
    <sheet name="战士" sheetId="1" r:id="rId1"/>
    <sheet name="幽灵" sheetId="2" r:id="rId2"/>
    <sheet name="人鱼" sheetId="3" r:id="rId3"/>
    <sheet name="弓箭手" sheetId="4" r:id="rId4"/>
    <sheet name="史莱姆" sheetId="5" r:id="rId5"/>
    <sheet name="水元素" sheetId="6" r:id="rId6"/>
    <sheet name="黑法" sheetId="7" r:id="rId7"/>
    <sheet name="女巫" sheetId="8" r:id="rId8"/>
    <sheet name="圣骑" sheetId="9" r:id="rId9"/>
    <sheet name="精灵" sheetId="10" r:id="rId10"/>
    <sheet name="狂战士" sheetId="11" r:id="rId11"/>
    <sheet name="狼" sheetId="12" r:id="rId12"/>
    <sheet name="石头人" sheetId="13" r:id="rId13"/>
    <sheet name="冰" sheetId="14" r:id="rId14"/>
    <sheet name="德鲁伊" sheetId="15" r:id="rId15"/>
    <sheet name="投石车" sheetId="16" r:id="rId16"/>
    <sheet name="狼骑" sheetId="17" r:id="rId17"/>
    <sheet name="龙" sheetId="18" r:id="rId18"/>
    <sheet name="王" sheetId="19" r:id="rId19"/>
    <sheet name="骷髅" sheetId="20" r:id="rId20"/>
  </sheets>
  <calcPr calcId="144525"/>
</workbook>
</file>

<file path=xl/sharedStrings.xml><?xml version="1.0" encoding="utf-8"?>
<sst xmlns="http://schemas.openxmlformats.org/spreadsheetml/2006/main" count="1334" uniqueCount="426">
  <si>
    <t>实际伤害价值=[（被攻击单位初始价值*（被攻击单位等级/3+1）*（伤害量*嘲讽加成+BUFF等效伤害量）-自身单位初始价值*（自身单位等级/3+1）*(反击量+BUFF等效伤害量）]/100</t>
  </si>
  <si>
    <t>最终伤害=[（攻方攻击力+地形攻击加成+其他攻击加成）-（守方实际防御+地形防御加成+特殊防御加成+其他防御加成）]*攻方当前血量/最大血量</t>
  </si>
  <si>
    <t>计算结果每一步出现小数向下取整</t>
  </si>
  <si>
    <t>王、战士、圣骑士占房子城堡嘲讽加成</t>
  </si>
  <si>
    <t>骷髅计算价格</t>
  </si>
  <si>
    <t>王计算价格（可按实际价格）</t>
  </si>
  <si>
    <t>仅讨论攻击价值</t>
  </si>
  <si>
    <t>参数</t>
  </si>
  <si>
    <t>攻击方</t>
  </si>
  <si>
    <t>防守方</t>
  </si>
  <si>
    <t>攻击价值</t>
  </si>
  <si>
    <t>攻击力</t>
  </si>
  <si>
    <t>防御力</t>
  </si>
  <si>
    <t>价格</t>
  </si>
  <si>
    <t>等级</t>
  </si>
  <si>
    <t>地形</t>
  </si>
  <si>
    <t>血量</t>
  </si>
  <si>
    <t>总血量</t>
  </si>
  <si>
    <t>buff等效伤害量</t>
  </si>
  <si>
    <t>攻击伤害</t>
  </si>
  <si>
    <t>嘲讽加成</t>
  </si>
  <si>
    <t>反击伤害</t>
  </si>
  <si>
    <t>战士→战士</t>
  </si>
  <si>
    <t>战士→幽灵</t>
  </si>
  <si>
    <t>战士→人鱼</t>
  </si>
  <si>
    <t>战士→弓箭手</t>
  </si>
  <si>
    <t>战士→史莱姆</t>
  </si>
  <si>
    <t>战士→水元素</t>
  </si>
  <si>
    <t>战士→黑法</t>
  </si>
  <si>
    <t>战士→女巫</t>
  </si>
  <si>
    <t>战士→圣骑</t>
  </si>
  <si>
    <t>战士→精灵</t>
  </si>
  <si>
    <t>战士→狂战士</t>
  </si>
  <si>
    <t>战士→狼</t>
  </si>
  <si>
    <t>战士→石头人</t>
  </si>
  <si>
    <t>战士→冰元素</t>
  </si>
  <si>
    <t>战士→德鲁伊</t>
  </si>
  <si>
    <t>战士→投石车</t>
  </si>
  <si>
    <t>战士→狼骑</t>
  </si>
  <si>
    <t>战士→龙</t>
  </si>
  <si>
    <t>战士→王</t>
  </si>
  <si>
    <t>战士→骷髅</t>
  </si>
  <si>
    <t>幽灵→战士</t>
  </si>
  <si>
    <t>幽灵→幽灵</t>
  </si>
  <si>
    <t>幽灵→人鱼</t>
  </si>
  <si>
    <t>幽灵→弓箭手</t>
  </si>
  <si>
    <t>幽灵→史莱姆</t>
  </si>
  <si>
    <t>幽灵→水元素</t>
  </si>
  <si>
    <t>幽灵→黑法</t>
  </si>
  <si>
    <t>幽灵→女巫</t>
  </si>
  <si>
    <t>幽灵→圣骑</t>
  </si>
  <si>
    <t>幽灵→精灵</t>
  </si>
  <si>
    <t>幽灵→狂战士</t>
  </si>
  <si>
    <t>幽灵→狼</t>
  </si>
  <si>
    <t>幽灵→石头人</t>
  </si>
  <si>
    <t>幽灵→冰元素</t>
  </si>
  <si>
    <t>幽灵→德鲁伊</t>
  </si>
  <si>
    <t>幽灵→投石车</t>
  </si>
  <si>
    <t>幽灵→狼骑</t>
  </si>
  <si>
    <t>幽灵→龙</t>
  </si>
  <si>
    <t>幽灵→王</t>
  </si>
  <si>
    <t>幽灵→骷髅</t>
  </si>
  <si>
    <t>近战情况</t>
  </si>
  <si>
    <t>人鱼→战士</t>
  </si>
  <si>
    <t>人鱼→幽灵</t>
  </si>
  <si>
    <t>人鱼→人鱼</t>
  </si>
  <si>
    <t>人鱼→弓箭手</t>
  </si>
  <si>
    <t>人鱼→史莱姆</t>
  </si>
  <si>
    <t>人鱼→水元素</t>
  </si>
  <si>
    <t>人鱼→黑法</t>
  </si>
  <si>
    <t>人鱼→女巫</t>
  </si>
  <si>
    <t>人鱼→圣骑</t>
  </si>
  <si>
    <t>人鱼→精灵</t>
  </si>
  <si>
    <t>人鱼→狂战士</t>
  </si>
  <si>
    <t>人鱼→狼</t>
  </si>
  <si>
    <t>人鱼→石头人</t>
  </si>
  <si>
    <t>人鱼→冰元素</t>
  </si>
  <si>
    <t>人鱼→德鲁伊</t>
  </si>
  <si>
    <t>人鱼→投石车</t>
  </si>
  <si>
    <t>人鱼→狼骑</t>
  </si>
  <si>
    <t>人鱼→龙</t>
  </si>
  <si>
    <t>人鱼→王</t>
  </si>
  <si>
    <t>人鱼→骷髅</t>
  </si>
  <si>
    <t>远程情况</t>
  </si>
  <si>
    <t>弓箭手→战士</t>
  </si>
  <si>
    <t>弓箭手→幽灵</t>
  </si>
  <si>
    <t>弓箭手→人鱼</t>
  </si>
  <si>
    <t>弓箭手→弓箭手</t>
  </si>
  <si>
    <t>弓箭手→史莱姆</t>
  </si>
  <si>
    <t>弓箭手→水元素</t>
  </si>
  <si>
    <t>弓箭手→黑法</t>
  </si>
  <si>
    <t>弓箭手→女巫</t>
  </si>
  <si>
    <t>弓箭手→圣骑</t>
  </si>
  <si>
    <t>弓箭手→精灵</t>
  </si>
  <si>
    <t>弓箭手→狂战士</t>
  </si>
  <si>
    <t>弓箭手→狼</t>
  </si>
  <si>
    <t>弓箭手→石头人</t>
  </si>
  <si>
    <t>弓箭手→冰元素</t>
  </si>
  <si>
    <t>弓箭手→德鲁伊</t>
  </si>
  <si>
    <t>弓箭手→投石车</t>
  </si>
  <si>
    <t>弓箭手→狼骑</t>
  </si>
  <si>
    <t>弓箭手→龙</t>
  </si>
  <si>
    <t>弓箭手→王</t>
  </si>
  <si>
    <t>弓箭手→骷髅</t>
  </si>
  <si>
    <t>另</t>
  </si>
  <si>
    <t>史莱姆→战士</t>
  </si>
  <si>
    <t>史莱姆→幽灵</t>
  </si>
  <si>
    <t>史莱姆→人鱼</t>
  </si>
  <si>
    <t>史莱姆→弓箭手</t>
  </si>
  <si>
    <t>史莱姆→史莱姆</t>
  </si>
  <si>
    <t>史莱姆→水元素</t>
  </si>
  <si>
    <t>史莱姆→黑法</t>
  </si>
  <si>
    <t>史莱姆→女巫</t>
  </si>
  <si>
    <t>史莱姆→圣骑</t>
  </si>
  <si>
    <t>史莱姆→精灵</t>
  </si>
  <si>
    <t>史莱姆→狂战士</t>
  </si>
  <si>
    <t>史莱姆→狼</t>
  </si>
  <si>
    <t>史莱姆→石头人</t>
  </si>
  <si>
    <t>史莱姆→冰元素</t>
  </si>
  <si>
    <t>史莱姆→德鲁伊</t>
  </si>
  <si>
    <t>史莱姆→投石车</t>
  </si>
  <si>
    <t>史莱姆→狼骑</t>
  </si>
  <si>
    <t>史莱姆→龙</t>
  </si>
  <si>
    <t>史莱姆→王</t>
  </si>
  <si>
    <t>史莱姆→骷髅</t>
  </si>
  <si>
    <t>水元素→战士</t>
  </si>
  <si>
    <t>水元素→幽灵</t>
  </si>
  <si>
    <t>水元素→人鱼</t>
  </si>
  <si>
    <t>水元素→弓箭手</t>
  </si>
  <si>
    <t>水元素→史莱姆</t>
  </si>
  <si>
    <t>水元素→水元素</t>
  </si>
  <si>
    <t>水元素→黑法</t>
  </si>
  <si>
    <t>水元素→女巫</t>
  </si>
  <si>
    <t>水元素→圣骑</t>
  </si>
  <si>
    <t>水元素→精灵</t>
  </si>
  <si>
    <t>水元素→狂战士</t>
  </si>
  <si>
    <t>水元素→狼</t>
  </si>
  <si>
    <t>水元素→石头人</t>
  </si>
  <si>
    <t>水元素→冰元素</t>
  </si>
  <si>
    <t>水元素→德鲁伊</t>
  </si>
  <si>
    <t>水元素→投石车</t>
  </si>
  <si>
    <t>水元素→狼骑</t>
  </si>
  <si>
    <t>水元素→龙</t>
  </si>
  <si>
    <t>水元素→王</t>
  </si>
  <si>
    <t>水元素→骷髅</t>
  </si>
  <si>
    <t>黑法→战士</t>
  </si>
  <si>
    <t>黑法→幽灵</t>
  </si>
  <si>
    <t>黑法→人鱼</t>
  </si>
  <si>
    <t>黑法→弓箭手</t>
  </si>
  <si>
    <t>黑法→史莱姆</t>
  </si>
  <si>
    <t>黑法→水元素</t>
  </si>
  <si>
    <t>黑法→黑法</t>
  </si>
  <si>
    <t>黑法→女巫</t>
  </si>
  <si>
    <t>黑法→圣骑</t>
  </si>
  <si>
    <t>黑法→精灵</t>
  </si>
  <si>
    <t>黑法→狂战士</t>
  </si>
  <si>
    <t>黑法→狼</t>
  </si>
  <si>
    <t>黑法→石头人</t>
  </si>
  <si>
    <t>黑法→冰元素</t>
  </si>
  <si>
    <t>黑法→德鲁伊</t>
  </si>
  <si>
    <t>黑法→投石车</t>
  </si>
  <si>
    <t>黑法→狼骑</t>
  </si>
  <si>
    <t>黑法→龙</t>
  </si>
  <si>
    <t>黑法→王</t>
  </si>
  <si>
    <t>黑法→骷髅</t>
  </si>
  <si>
    <t>其余同近战情况</t>
  </si>
  <si>
    <t>女巫→战士</t>
  </si>
  <si>
    <t>女巫→幽灵</t>
  </si>
  <si>
    <t>女巫→人鱼</t>
  </si>
  <si>
    <t>女巫→弓箭手</t>
  </si>
  <si>
    <t>女巫→史莱姆</t>
  </si>
  <si>
    <t>女巫→水元素</t>
  </si>
  <si>
    <t>女巫→黑法</t>
  </si>
  <si>
    <t>女巫→女巫</t>
  </si>
  <si>
    <t>女巫→圣骑</t>
  </si>
  <si>
    <t>女巫→精灵</t>
  </si>
  <si>
    <t>女巫→狂战士</t>
  </si>
  <si>
    <t>女巫→狼</t>
  </si>
  <si>
    <t>女巫→石头人</t>
  </si>
  <si>
    <t>女巫→冰元素</t>
  </si>
  <si>
    <t>女巫→德鲁伊</t>
  </si>
  <si>
    <t>女巫→投石车</t>
  </si>
  <si>
    <t>女巫→狼骑</t>
  </si>
  <si>
    <t>女巫→龙</t>
  </si>
  <si>
    <t>女巫→王</t>
  </si>
  <si>
    <t>女巫→骷髅</t>
  </si>
  <si>
    <t>圣骑→战士</t>
  </si>
  <si>
    <t>圣骑→幽灵</t>
  </si>
  <si>
    <t>圣骑→人鱼</t>
  </si>
  <si>
    <t>圣骑→弓箭手</t>
  </si>
  <si>
    <t>圣骑→史莱姆</t>
  </si>
  <si>
    <t>圣骑→水元素</t>
  </si>
  <si>
    <t>圣骑→黑法</t>
  </si>
  <si>
    <t>圣骑→女巫</t>
  </si>
  <si>
    <t>圣骑→圣骑</t>
  </si>
  <si>
    <t>圣骑→精灵</t>
  </si>
  <si>
    <t>圣骑→狂战士</t>
  </si>
  <si>
    <t>圣骑→狼</t>
  </si>
  <si>
    <t>圣骑→石头人</t>
  </si>
  <si>
    <t>圣骑→冰元素</t>
  </si>
  <si>
    <t>圣骑→德鲁伊</t>
  </si>
  <si>
    <t>圣骑→投石车</t>
  </si>
  <si>
    <t>圣骑→狼骑</t>
  </si>
  <si>
    <t>圣骑→龙</t>
  </si>
  <si>
    <t>圣骑→王</t>
  </si>
  <si>
    <t>圣骑→骷髅</t>
  </si>
  <si>
    <t>精灵→战士</t>
  </si>
  <si>
    <t>精灵→幽灵</t>
  </si>
  <si>
    <t>精灵→人鱼</t>
  </si>
  <si>
    <t>精灵→弓箭手</t>
  </si>
  <si>
    <t>精灵→史莱姆</t>
  </si>
  <si>
    <t>精灵→水元素</t>
  </si>
  <si>
    <t>精灵→黑法</t>
  </si>
  <si>
    <t>精灵→女巫</t>
  </si>
  <si>
    <t>精灵→圣骑</t>
  </si>
  <si>
    <t>精灵→精灵</t>
  </si>
  <si>
    <t>精灵→狂战士</t>
  </si>
  <si>
    <t>精灵→狼</t>
  </si>
  <si>
    <t>精灵→石头人</t>
  </si>
  <si>
    <t>精灵→冰元素</t>
  </si>
  <si>
    <t>精灵→德鲁伊</t>
  </si>
  <si>
    <t>精灵→投石车</t>
  </si>
  <si>
    <t>精灵→狼骑</t>
  </si>
  <si>
    <t>精灵→龙</t>
  </si>
  <si>
    <t>精灵→王</t>
  </si>
  <si>
    <t>精灵→骷髅</t>
  </si>
  <si>
    <t>狂战士→战士</t>
  </si>
  <si>
    <t>狂战士→幽灵</t>
  </si>
  <si>
    <t>狂战士→人鱼</t>
  </si>
  <si>
    <t>狂战士→弓箭手</t>
  </si>
  <si>
    <t>狂战士→史莱姆</t>
  </si>
  <si>
    <t>狂战士→水元素</t>
  </si>
  <si>
    <t>狂战士→黑法</t>
  </si>
  <si>
    <t>狂战士→女巫</t>
  </si>
  <si>
    <t>狂战士→圣骑</t>
  </si>
  <si>
    <t>狂战士→精灵</t>
  </si>
  <si>
    <t>狂战士→狂战士</t>
  </si>
  <si>
    <t>狂战士→狼</t>
  </si>
  <si>
    <t>狂战士→石头人</t>
  </si>
  <si>
    <t>狂战士→冰元素</t>
  </si>
  <si>
    <t>狂战士→德鲁伊</t>
  </si>
  <si>
    <t>狂战士→投石车</t>
  </si>
  <si>
    <t>狂战士→狼骑</t>
  </si>
  <si>
    <t>狂战士→龙</t>
  </si>
  <si>
    <t>狂战士→王</t>
  </si>
  <si>
    <t>狂战士→骷髅</t>
  </si>
  <si>
    <t>狼→战士</t>
  </si>
  <si>
    <t>狼→幽灵</t>
  </si>
  <si>
    <t>狼→人鱼</t>
  </si>
  <si>
    <t>狼→弓箭手</t>
  </si>
  <si>
    <t>狼→史莱姆</t>
  </si>
  <si>
    <t>狼→水元素</t>
  </si>
  <si>
    <t>狼→黑法</t>
  </si>
  <si>
    <t>狼→女巫</t>
  </si>
  <si>
    <t>狼→圣骑</t>
  </si>
  <si>
    <t>狼→精灵</t>
  </si>
  <si>
    <t>狼→狂战士</t>
  </si>
  <si>
    <t>狼→狼</t>
  </si>
  <si>
    <t>狼→石头人</t>
  </si>
  <si>
    <t>狼→冰元素</t>
  </si>
  <si>
    <t>狼→德鲁伊</t>
  </si>
  <si>
    <t>狼→投石车</t>
  </si>
  <si>
    <t>狼→狼骑</t>
  </si>
  <si>
    <t>狼→龙</t>
  </si>
  <si>
    <t>狼→王</t>
  </si>
  <si>
    <t>狼→骷髅</t>
  </si>
  <si>
    <t>石头人→战士</t>
  </si>
  <si>
    <t>石头人→幽灵</t>
  </si>
  <si>
    <t>石头人→人鱼</t>
  </si>
  <si>
    <t>石头人→弓箭手</t>
  </si>
  <si>
    <t>石头人→史莱姆</t>
  </si>
  <si>
    <t>石头人→水元素</t>
  </si>
  <si>
    <t>石头人→黑法</t>
  </si>
  <si>
    <t>石头人→女巫</t>
  </si>
  <si>
    <t>石头人→圣骑</t>
  </si>
  <si>
    <t>石头人→精灵</t>
  </si>
  <si>
    <t>石头人→狂战士</t>
  </si>
  <si>
    <t>石头人→狼</t>
  </si>
  <si>
    <t>石头人→石头人</t>
  </si>
  <si>
    <t>石头人→冰元素</t>
  </si>
  <si>
    <t>石头人→德鲁伊</t>
  </si>
  <si>
    <t>石头人→投石车</t>
  </si>
  <si>
    <t>石头人→狼骑</t>
  </si>
  <si>
    <t>石头人→龙</t>
  </si>
  <si>
    <t>石头人→王</t>
  </si>
  <si>
    <t>石头人→骷髅</t>
  </si>
  <si>
    <t>冰元素→战士</t>
  </si>
  <si>
    <t>冰元素→幽灵</t>
  </si>
  <si>
    <t>冰元素→人鱼</t>
  </si>
  <si>
    <t>冰元素→弓箭手</t>
  </si>
  <si>
    <t>冰元素→史莱姆</t>
  </si>
  <si>
    <t>冰元素→水元素</t>
  </si>
  <si>
    <t>冰元素→黑法</t>
  </si>
  <si>
    <t>冰元素→女巫</t>
  </si>
  <si>
    <t>冰元素→圣骑</t>
  </si>
  <si>
    <t>冰元素→精灵</t>
  </si>
  <si>
    <t>冰元素→狂战士</t>
  </si>
  <si>
    <t>冰元素→狼</t>
  </si>
  <si>
    <t>冰元素→石头人</t>
  </si>
  <si>
    <t>冰元素→冰元素</t>
  </si>
  <si>
    <t>冰元素→德鲁伊</t>
  </si>
  <si>
    <t>冰元素→投石车</t>
  </si>
  <si>
    <t>冰元素→狼骑</t>
  </si>
  <si>
    <t>冰元素→龙</t>
  </si>
  <si>
    <t>冰元素→王</t>
  </si>
  <si>
    <t>冰元素→骷髅</t>
  </si>
  <si>
    <t>德鲁伊→战士</t>
  </si>
  <si>
    <t>德鲁伊→幽灵</t>
  </si>
  <si>
    <t>德鲁伊→人鱼</t>
  </si>
  <si>
    <t>德鲁伊→弓箭手</t>
  </si>
  <si>
    <t>德鲁伊→史莱姆</t>
  </si>
  <si>
    <t>德鲁伊→水元素</t>
  </si>
  <si>
    <t>德鲁伊→黑法</t>
  </si>
  <si>
    <t>德鲁伊→女巫</t>
  </si>
  <si>
    <t>德鲁伊→圣骑</t>
  </si>
  <si>
    <t>德鲁伊→精灵</t>
  </si>
  <si>
    <t>德鲁伊→狂战士</t>
  </si>
  <si>
    <t>德鲁伊→狼</t>
  </si>
  <si>
    <t>德鲁伊→石头人</t>
  </si>
  <si>
    <t>德鲁伊→冰元素</t>
  </si>
  <si>
    <t>德鲁伊→德鲁伊</t>
  </si>
  <si>
    <t>德鲁伊→投石车</t>
  </si>
  <si>
    <t>德鲁伊→狼骑</t>
  </si>
  <si>
    <t>德鲁伊→龙</t>
  </si>
  <si>
    <t>德鲁伊→王</t>
  </si>
  <si>
    <t>德鲁伊→骷髅</t>
  </si>
  <si>
    <t>投石车→战士</t>
  </si>
  <si>
    <t>投石车→幽灵</t>
  </si>
  <si>
    <t>投石车→人鱼</t>
  </si>
  <si>
    <t>投石车→弓箭手</t>
  </si>
  <si>
    <t>投石车→史莱姆</t>
  </si>
  <si>
    <t>投石车→水元素</t>
  </si>
  <si>
    <t>投石车→黑法</t>
  </si>
  <si>
    <t>投石车→女巫</t>
  </si>
  <si>
    <t>投石车→圣骑</t>
  </si>
  <si>
    <t>投石车→精灵</t>
  </si>
  <si>
    <t>投石车→狂战士</t>
  </si>
  <si>
    <t>投石车→狼</t>
  </si>
  <si>
    <t>投石车→石头人</t>
  </si>
  <si>
    <t>投石车→冰元素</t>
  </si>
  <si>
    <t>投石车→德鲁伊</t>
  </si>
  <si>
    <t>投石车→投石车</t>
  </si>
  <si>
    <t>投石车→狼骑</t>
  </si>
  <si>
    <t>投石车→龙</t>
  </si>
  <si>
    <t>投石车→王</t>
  </si>
  <si>
    <t>投石车→骷髅</t>
  </si>
  <si>
    <t>狼骑→战士</t>
  </si>
  <si>
    <t>狼骑→幽灵</t>
  </si>
  <si>
    <t>狼骑→人鱼</t>
  </si>
  <si>
    <t>狼骑→弓箭手</t>
  </si>
  <si>
    <t>狼骑→史莱姆</t>
  </si>
  <si>
    <t>狼骑→水元素</t>
  </si>
  <si>
    <t>狼骑→黑法</t>
  </si>
  <si>
    <t>狼骑→女巫</t>
  </si>
  <si>
    <t>狼骑→圣骑</t>
  </si>
  <si>
    <t>狼骑→精灵</t>
  </si>
  <si>
    <t>狼骑→狂战士</t>
  </si>
  <si>
    <t>狼骑→狼</t>
  </si>
  <si>
    <t>狼骑→石头人</t>
  </si>
  <si>
    <t>狼骑→冰元素</t>
  </si>
  <si>
    <t>狼骑→德鲁伊</t>
  </si>
  <si>
    <t>狼骑→投石车</t>
  </si>
  <si>
    <t>狼骑→狼骑</t>
  </si>
  <si>
    <t>狼骑→龙</t>
  </si>
  <si>
    <t>狼骑→王</t>
  </si>
  <si>
    <t>狼骑→骷髅</t>
  </si>
  <si>
    <t>龙→战士</t>
  </si>
  <si>
    <t>龙→幽灵</t>
  </si>
  <si>
    <t>龙→人鱼</t>
  </si>
  <si>
    <t>龙→弓箭手</t>
  </si>
  <si>
    <t>龙→史莱姆</t>
  </si>
  <si>
    <t>龙→水元素</t>
  </si>
  <si>
    <t>龙→黑法</t>
  </si>
  <si>
    <t>龙→女巫</t>
  </si>
  <si>
    <t>龙→圣骑</t>
  </si>
  <si>
    <t>龙→精灵</t>
  </si>
  <si>
    <t>龙→狂战士</t>
  </si>
  <si>
    <t>龙→狼</t>
  </si>
  <si>
    <t>龙→石头人</t>
  </si>
  <si>
    <t>龙→冰元素</t>
  </si>
  <si>
    <t>龙→德鲁伊</t>
  </si>
  <si>
    <t>龙→投石车</t>
  </si>
  <si>
    <t>龙→狼骑</t>
  </si>
  <si>
    <t>龙→龙</t>
  </si>
  <si>
    <t>龙→王</t>
  </si>
  <si>
    <t>龙→骷髅</t>
  </si>
  <si>
    <t>王→战士</t>
  </si>
  <si>
    <t>王→幽灵</t>
  </si>
  <si>
    <t>王→人鱼</t>
  </si>
  <si>
    <t>王→弓箭手</t>
  </si>
  <si>
    <t>王→史莱姆</t>
  </si>
  <si>
    <t>王→水元素</t>
  </si>
  <si>
    <t>王→黑法</t>
  </si>
  <si>
    <t>王→女巫</t>
  </si>
  <si>
    <t>王→圣骑</t>
  </si>
  <si>
    <t>王→精灵</t>
  </si>
  <si>
    <t>王→狂战士</t>
  </si>
  <si>
    <t>王→狼</t>
  </si>
  <si>
    <t>王→石头人</t>
  </si>
  <si>
    <t>王→冰元素</t>
  </si>
  <si>
    <t>王→德鲁伊</t>
  </si>
  <si>
    <t>王→投石车</t>
  </si>
  <si>
    <t>王→狼骑</t>
  </si>
  <si>
    <t>王→龙</t>
  </si>
  <si>
    <t>王→王</t>
  </si>
  <si>
    <t>王→骷髅</t>
  </si>
  <si>
    <t>骷髅→战士</t>
  </si>
  <si>
    <t>骷髅→幽灵</t>
  </si>
  <si>
    <t>骷髅→人鱼</t>
  </si>
  <si>
    <t>骷髅→弓箭手</t>
  </si>
  <si>
    <t>骷髅→史莱姆</t>
  </si>
  <si>
    <t>骷髅→水元素</t>
  </si>
  <si>
    <t>骷髅→黑法</t>
  </si>
  <si>
    <t>骷髅→女巫</t>
  </si>
  <si>
    <t>骷髅→圣骑</t>
  </si>
  <si>
    <t>骷髅→精灵</t>
  </si>
  <si>
    <t>骷髅→狂战士</t>
  </si>
  <si>
    <t>骷髅→狼</t>
  </si>
  <si>
    <t>骷髅→石头人</t>
  </si>
  <si>
    <t>骷髅→冰元素</t>
  </si>
  <si>
    <t>骷髅→德鲁伊</t>
  </si>
  <si>
    <t>骷髅→投石车</t>
  </si>
  <si>
    <t>骷髅→狼骑</t>
  </si>
  <si>
    <t>骷髅→龙</t>
  </si>
  <si>
    <t>骷髅→王</t>
  </si>
  <si>
    <t>骷髅→骷髅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</si>
</sst>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11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8" applyNumberFormat="0" applyFont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6" fillId="19" borderId="11" applyNumberFormat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8" fillId="20" borderId="12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7" fillId="37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haredStrings" Target="sharedStrings.xml"/><Relationship Id="rId22" Type="http://schemas.openxmlformats.org/officeDocument/2006/relationships/styles" Target="style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zoomScale="90" zoomScaleNormal="90" workbookViewId="0">
      <selection activeCell="B7" sqref="B7:B26"/>
    </sheetView>
  </sheetViews>
  <sheetFormatPr defaultColWidth="14" defaultRowHeight="15"/>
  <cols>
    <col min="1" max="1" width="15.6636363636364" style="1" customWidth="1"/>
    <col min="2" max="3" width="8.33636363636364" style="1" customWidth="1"/>
    <col min="4" max="7" width="6.10909090909091" style="1" customWidth="1"/>
    <col min="8" max="8" width="8.33636363636364" style="1" customWidth="1"/>
    <col min="9" max="9" width="18.1090909090909" style="1" customWidth="1"/>
    <col min="10" max="10" width="10.6636363636364" style="1" customWidth="1"/>
    <col min="11" max="12" width="8.33636363636364" style="1" customWidth="1"/>
    <col min="13" max="16" width="6.10909090909091" style="1" customWidth="1"/>
    <col min="17" max="17" width="8.33636363636364" style="1" customWidth="1"/>
    <col min="18" max="18" width="10.6636363636364" style="1" customWidth="1"/>
    <col min="19" max="19" width="18.1090909090909" style="1" customWidth="1"/>
    <col min="20" max="21" width="10.6636363636364" style="1" customWidth="1"/>
    <col min="22" max="22" width="38.1090909090909" style="1" customWidth="1"/>
    <col min="23" max="23" width="15.6636363636364" style="1" customWidth="1"/>
    <col min="24" max="16384" width="14" style="1"/>
  </cols>
  <sheetData>
    <row r="1" s="1" customForma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="1" customFormat="1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" customFormat="1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T4" s="16" t="s">
        <v>6</v>
      </c>
      <c r="U4" s="17"/>
    </row>
    <row r="5" s="1" customFormat="1" spans="1:21">
      <c r="A5" s="7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="1" customFormat="1" spans="1:21">
      <c r="A6" s="9"/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="1" customFormat="1" spans="1:21">
      <c r="A7" s="10" t="s">
        <v>22</v>
      </c>
      <c r="B7" s="11">
        <f>55+E7*10</f>
        <v>55</v>
      </c>
      <c r="C7" s="11">
        <f>5+E7*5</f>
        <v>5</v>
      </c>
      <c r="D7" s="11">
        <v>150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>(B7-L7-O7)*(G7/H7)</f>
        <v>50</v>
      </c>
      <c r="K7" s="15">
        <f>55+N7*10</f>
        <v>55</v>
      </c>
      <c r="L7" s="15">
        <f>5+N7*5</f>
        <v>5</v>
      </c>
      <c r="M7" s="15">
        <v>150</v>
      </c>
      <c r="N7" s="15">
        <v>0</v>
      </c>
      <c r="O7" s="14">
        <v>0</v>
      </c>
      <c r="P7" s="14">
        <f t="shared" ref="P7:P26" si="0">Q7-J7</f>
        <v>50</v>
      </c>
      <c r="Q7" s="14">
        <v>100</v>
      </c>
      <c r="R7" s="14">
        <v>1</v>
      </c>
      <c r="S7" s="14">
        <v>0</v>
      </c>
      <c r="T7" s="14">
        <f>(K7-C7-F7)*(P7/Q7)</f>
        <v>25</v>
      </c>
      <c r="U7" s="10">
        <f t="shared" ref="U7:U26" si="1">(M7*(N7/3+1)*(J7*R7+S7)-(D7*(E7/3+1))*(T7+I7))/100</f>
        <v>37.5</v>
      </c>
    </row>
    <row r="8" s="1" customFormat="1" spans="1:21">
      <c r="A8" s="10" t="s">
        <v>23</v>
      </c>
      <c r="B8" s="11">
        <f t="shared" ref="B8:B26" si="2">55+E8*10</f>
        <v>55</v>
      </c>
      <c r="C8" s="11">
        <f t="shared" ref="C8:C26" si="3">5+E8*5</f>
        <v>5</v>
      </c>
      <c r="D8" s="11">
        <v>150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ref="J8:J26" si="4">(B8-L8-O8)*(G8/H8)</f>
        <v>50</v>
      </c>
      <c r="K8" s="15">
        <f>50+N8*10</f>
        <v>50</v>
      </c>
      <c r="L8" s="15">
        <f>5+N8*5</f>
        <v>5</v>
      </c>
      <c r="M8" s="14">
        <v>200</v>
      </c>
      <c r="N8" s="15">
        <v>0</v>
      </c>
      <c r="O8" s="14">
        <v>0</v>
      </c>
      <c r="P8" s="14">
        <f t="shared" si="0"/>
        <v>50</v>
      </c>
      <c r="Q8" s="14">
        <v>100</v>
      </c>
      <c r="R8" s="14">
        <v>1</v>
      </c>
      <c r="S8" s="14">
        <v>0</v>
      </c>
      <c r="T8" s="14">
        <f t="shared" ref="T8:T26" si="5">(K8-C8-F8)*(P8/Q8)</f>
        <v>22.5</v>
      </c>
      <c r="U8" s="10">
        <f t="shared" si="1"/>
        <v>66.25</v>
      </c>
    </row>
    <row r="9" s="1" customFormat="1" spans="1:21">
      <c r="A9" s="10" t="s">
        <v>24</v>
      </c>
      <c r="B9" s="11">
        <f t="shared" si="2"/>
        <v>55</v>
      </c>
      <c r="C9" s="11">
        <f t="shared" si="3"/>
        <v>5</v>
      </c>
      <c r="D9" s="11">
        <v>150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4"/>
        <v>55</v>
      </c>
      <c r="K9" s="15">
        <f>40+N9*10</f>
        <v>40</v>
      </c>
      <c r="L9" s="15">
        <f>0+N9*5</f>
        <v>0</v>
      </c>
      <c r="M9" s="14">
        <v>200</v>
      </c>
      <c r="N9" s="15">
        <v>0</v>
      </c>
      <c r="O9" s="14">
        <v>0</v>
      </c>
      <c r="P9" s="14">
        <f t="shared" si="0"/>
        <v>45</v>
      </c>
      <c r="Q9" s="14">
        <v>100</v>
      </c>
      <c r="R9" s="14">
        <v>1</v>
      </c>
      <c r="S9" s="14">
        <v>0</v>
      </c>
      <c r="T9" s="14">
        <f t="shared" si="5"/>
        <v>15.75</v>
      </c>
      <c r="U9" s="10">
        <f t="shared" si="1"/>
        <v>86.375</v>
      </c>
    </row>
    <row r="10" s="1" customFormat="1" spans="1:21">
      <c r="A10" s="10" t="s">
        <v>25</v>
      </c>
      <c r="B10" s="11">
        <f t="shared" si="2"/>
        <v>55</v>
      </c>
      <c r="C10" s="11">
        <f t="shared" si="3"/>
        <v>5</v>
      </c>
      <c r="D10" s="11">
        <v>150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4"/>
        <v>50</v>
      </c>
      <c r="K10" s="15">
        <f>45+N10*10</f>
        <v>45</v>
      </c>
      <c r="L10" s="15">
        <f>5+N10*5</f>
        <v>5</v>
      </c>
      <c r="M10" s="14">
        <v>250</v>
      </c>
      <c r="N10" s="15">
        <v>0</v>
      </c>
      <c r="O10" s="14">
        <v>0</v>
      </c>
      <c r="P10" s="14">
        <f t="shared" si="0"/>
        <v>50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1"/>
        <v>125</v>
      </c>
    </row>
    <row r="11" s="1" customFormat="1" spans="1:21">
      <c r="A11" s="10" t="s">
        <v>26</v>
      </c>
      <c r="B11" s="11">
        <f t="shared" si="2"/>
        <v>55</v>
      </c>
      <c r="C11" s="11">
        <f t="shared" si="3"/>
        <v>5</v>
      </c>
      <c r="D11" s="11">
        <v>150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4"/>
        <v>15</v>
      </c>
      <c r="K11" s="15">
        <f>50+N11*10</f>
        <v>50</v>
      </c>
      <c r="L11" s="15">
        <f>40+N11*5</f>
        <v>40</v>
      </c>
      <c r="M11" s="14">
        <v>250</v>
      </c>
      <c r="N11" s="15">
        <v>0</v>
      </c>
      <c r="O11" s="14">
        <v>0</v>
      </c>
      <c r="P11" s="14">
        <f t="shared" si="0"/>
        <v>85</v>
      </c>
      <c r="Q11" s="14">
        <f>100+N11*5</f>
        <v>100</v>
      </c>
      <c r="R11" s="14">
        <v>1</v>
      </c>
      <c r="S11" s="14">
        <v>0</v>
      </c>
      <c r="T11" s="14">
        <f t="shared" si="5"/>
        <v>38.25</v>
      </c>
      <c r="U11" s="10">
        <f t="shared" si="1"/>
        <v>-19.875</v>
      </c>
    </row>
    <row r="12" s="1" customFormat="1" spans="1:21">
      <c r="A12" s="10" t="s">
        <v>27</v>
      </c>
      <c r="B12" s="11">
        <f t="shared" si="2"/>
        <v>55</v>
      </c>
      <c r="C12" s="11">
        <f t="shared" si="3"/>
        <v>5</v>
      </c>
      <c r="D12" s="11">
        <v>150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4"/>
        <v>40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0"/>
        <v>60</v>
      </c>
      <c r="Q12" s="14">
        <v>100</v>
      </c>
      <c r="R12" s="14">
        <v>1</v>
      </c>
      <c r="S12" s="14">
        <v>0</v>
      </c>
      <c r="T12" s="14">
        <f t="shared" si="5"/>
        <v>33</v>
      </c>
      <c r="U12" s="10">
        <f t="shared" si="1"/>
        <v>70.5</v>
      </c>
    </row>
    <row r="13" s="1" customFormat="1" spans="1:21">
      <c r="A13" s="10" t="s">
        <v>28</v>
      </c>
      <c r="B13" s="11">
        <f t="shared" si="2"/>
        <v>55</v>
      </c>
      <c r="C13" s="11">
        <f t="shared" si="3"/>
        <v>5</v>
      </c>
      <c r="D13" s="11">
        <v>150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4"/>
        <v>55</v>
      </c>
      <c r="K13" s="15">
        <f>50+N13*10</f>
        <v>50</v>
      </c>
      <c r="L13" s="15">
        <f>0+N13*5</f>
        <v>0</v>
      </c>
      <c r="M13" s="14">
        <v>300</v>
      </c>
      <c r="N13" s="15">
        <v>0</v>
      </c>
      <c r="O13" s="14">
        <v>0</v>
      </c>
      <c r="P13" s="14">
        <f t="shared" si="0"/>
        <v>45</v>
      </c>
      <c r="Q13" s="14">
        <v>100</v>
      </c>
      <c r="R13" s="14">
        <v>1</v>
      </c>
      <c r="S13" s="14">
        <v>0</v>
      </c>
      <c r="T13" s="14">
        <f t="shared" si="5"/>
        <v>20.25</v>
      </c>
      <c r="U13" s="10">
        <f t="shared" si="1"/>
        <v>134.625</v>
      </c>
    </row>
    <row r="14" s="1" customFormat="1" spans="1:21">
      <c r="A14" s="10" t="s">
        <v>29</v>
      </c>
      <c r="B14" s="11">
        <f t="shared" si="2"/>
        <v>55</v>
      </c>
      <c r="C14" s="11">
        <f t="shared" si="3"/>
        <v>5</v>
      </c>
      <c r="D14" s="11">
        <v>150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4"/>
        <v>55</v>
      </c>
      <c r="K14" s="15">
        <f>45+N14*5</f>
        <v>45</v>
      </c>
      <c r="L14" s="15">
        <f>0+N14*5</f>
        <v>0</v>
      </c>
      <c r="M14" s="14">
        <v>400</v>
      </c>
      <c r="N14" s="15">
        <v>0</v>
      </c>
      <c r="O14" s="14">
        <v>0</v>
      </c>
      <c r="P14" s="14">
        <f t="shared" si="0"/>
        <v>45</v>
      </c>
      <c r="Q14" s="14">
        <v>100</v>
      </c>
      <c r="R14" s="14">
        <v>1</v>
      </c>
      <c r="S14" s="14">
        <v>0</v>
      </c>
      <c r="T14" s="14">
        <f t="shared" si="5"/>
        <v>18</v>
      </c>
      <c r="U14" s="10">
        <f t="shared" si="1"/>
        <v>193</v>
      </c>
    </row>
    <row r="15" s="1" customFormat="1" spans="1:21">
      <c r="A15" s="10" t="s">
        <v>30</v>
      </c>
      <c r="B15" s="11">
        <f t="shared" si="2"/>
        <v>55</v>
      </c>
      <c r="C15" s="11">
        <f t="shared" si="3"/>
        <v>5</v>
      </c>
      <c r="D15" s="11">
        <v>150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4"/>
        <v>45</v>
      </c>
      <c r="K15" s="15">
        <f>50+N15*5</f>
        <v>50</v>
      </c>
      <c r="L15" s="15">
        <f>10+N15*5</f>
        <v>10</v>
      </c>
      <c r="M15" s="14">
        <v>400</v>
      </c>
      <c r="N15" s="15">
        <v>0</v>
      </c>
      <c r="O15" s="14">
        <v>0</v>
      </c>
      <c r="P15" s="14">
        <f t="shared" si="0"/>
        <v>55</v>
      </c>
      <c r="Q15" s="14">
        <v>100</v>
      </c>
      <c r="R15" s="14">
        <v>1</v>
      </c>
      <c r="S15" s="14">
        <v>0</v>
      </c>
      <c r="T15" s="14">
        <f t="shared" si="5"/>
        <v>24.75</v>
      </c>
      <c r="U15" s="10">
        <f t="shared" si="1"/>
        <v>142.875</v>
      </c>
    </row>
    <row r="16" s="1" customFormat="1" spans="1:21">
      <c r="A16" s="10" t="s">
        <v>31</v>
      </c>
      <c r="B16" s="11">
        <f t="shared" si="2"/>
        <v>55</v>
      </c>
      <c r="C16" s="11">
        <f t="shared" si="3"/>
        <v>5</v>
      </c>
      <c r="D16" s="11">
        <v>150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4"/>
        <v>35</v>
      </c>
      <c r="K16" s="15">
        <f>55+N16*5</f>
        <v>55</v>
      </c>
      <c r="L16" s="15">
        <f>20+N16*5</f>
        <v>20</v>
      </c>
      <c r="M16" s="14">
        <v>500</v>
      </c>
      <c r="N16" s="15">
        <v>0</v>
      </c>
      <c r="O16" s="14">
        <v>0</v>
      </c>
      <c r="P16" s="14">
        <f t="shared" si="0"/>
        <v>65</v>
      </c>
      <c r="Q16" s="14">
        <v>100</v>
      </c>
      <c r="R16" s="14">
        <v>1</v>
      </c>
      <c r="S16" s="14">
        <v>0</v>
      </c>
      <c r="T16" s="14">
        <f t="shared" si="5"/>
        <v>32.5</v>
      </c>
      <c r="U16" s="10">
        <f t="shared" si="1"/>
        <v>126.25</v>
      </c>
    </row>
    <row r="17" s="1" customFormat="1" spans="1:21">
      <c r="A17" s="10" t="s">
        <v>32</v>
      </c>
      <c r="B17" s="11">
        <f t="shared" si="2"/>
        <v>55</v>
      </c>
      <c r="C17" s="11">
        <f t="shared" si="3"/>
        <v>5</v>
      </c>
      <c r="D17" s="11">
        <v>150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4"/>
        <v>35</v>
      </c>
      <c r="K17" s="14">
        <f>70+N17*10</f>
        <v>70</v>
      </c>
      <c r="L17" s="14">
        <f>20+N17*5</f>
        <v>20</v>
      </c>
      <c r="M17" s="14">
        <v>500</v>
      </c>
      <c r="N17" s="14">
        <v>0</v>
      </c>
      <c r="O17" s="14">
        <v>0</v>
      </c>
      <c r="P17" s="14">
        <f t="shared" si="0"/>
        <v>65</v>
      </c>
      <c r="Q17" s="14">
        <v>100</v>
      </c>
      <c r="R17" s="14">
        <v>1</v>
      </c>
      <c r="S17" s="14">
        <v>0</v>
      </c>
      <c r="T17" s="14">
        <f>(K17-C17-F17)*1</f>
        <v>65</v>
      </c>
      <c r="U17" s="10">
        <f t="shared" si="1"/>
        <v>77.5</v>
      </c>
    </row>
    <row r="18" s="1" customFormat="1" spans="1:21">
      <c r="A18" s="10" t="s">
        <v>33</v>
      </c>
      <c r="B18" s="11">
        <f t="shared" si="2"/>
        <v>55</v>
      </c>
      <c r="C18" s="11">
        <f t="shared" si="3"/>
        <v>5</v>
      </c>
      <c r="D18" s="11">
        <v>150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4"/>
        <v>35</v>
      </c>
      <c r="K18" s="14">
        <f>75+N18*10</f>
        <v>75</v>
      </c>
      <c r="L18" s="14">
        <f>20+N18*5</f>
        <v>20</v>
      </c>
      <c r="M18" s="14">
        <v>600</v>
      </c>
      <c r="N18" s="15">
        <v>0</v>
      </c>
      <c r="O18" s="14">
        <v>0</v>
      </c>
      <c r="P18" s="14">
        <f t="shared" si="0"/>
        <v>65</v>
      </c>
      <c r="Q18" s="14">
        <v>100</v>
      </c>
      <c r="R18" s="14">
        <v>1</v>
      </c>
      <c r="S18" s="14">
        <v>0</v>
      </c>
      <c r="T18" s="14">
        <f t="shared" si="5"/>
        <v>45.5</v>
      </c>
      <c r="U18" s="10">
        <f t="shared" si="1"/>
        <v>141.75</v>
      </c>
    </row>
    <row r="19" s="1" customFormat="1" spans="1:21">
      <c r="A19" s="10" t="s">
        <v>34</v>
      </c>
      <c r="B19" s="11">
        <f t="shared" si="2"/>
        <v>55</v>
      </c>
      <c r="C19" s="11">
        <f t="shared" si="3"/>
        <v>5</v>
      </c>
      <c r="D19" s="11">
        <v>150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4"/>
        <v>25</v>
      </c>
      <c r="K19" s="14">
        <f>55+N19*5</f>
        <v>55</v>
      </c>
      <c r="L19" s="14">
        <f>30+N19*5</f>
        <v>30</v>
      </c>
      <c r="M19" s="14">
        <v>600</v>
      </c>
      <c r="N19" s="14">
        <v>0</v>
      </c>
      <c r="O19" s="14">
        <v>0</v>
      </c>
      <c r="P19" s="14">
        <f t="shared" si="0"/>
        <v>75</v>
      </c>
      <c r="Q19" s="14">
        <f>100+N19*25</f>
        <v>100</v>
      </c>
      <c r="R19" s="14">
        <v>1</v>
      </c>
      <c r="S19" s="14">
        <v>0</v>
      </c>
      <c r="T19" s="14">
        <f t="shared" si="5"/>
        <v>37.5</v>
      </c>
      <c r="U19" s="10">
        <f t="shared" si="1"/>
        <v>93.75</v>
      </c>
    </row>
    <row r="20" s="1" customFormat="1" spans="1:21">
      <c r="A20" s="10" t="s">
        <v>35</v>
      </c>
      <c r="B20" s="11">
        <f t="shared" si="2"/>
        <v>55</v>
      </c>
      <c r="C20" s="11">
        <f t="shared" si="3"/>
        <v>5</v>
      </c>
      <c r="D20" s="11">
        <v>150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4"/>
        <v>45</v>
      </c>
      <c r="K20" s="14">
        <f>55+N20*10</f>
        <v>55</v>
      </c>
      <c r="L20" s="14">
        <f>10+N20*5</f>
        <v>10</v>
      </c>
      <c r="M20" s="14">
        <v>600</v>
      </c>
      <c r="N20" s="15">
        <v>0</v>
      </c>
      <c r="O20" s="14">
        <v>0</v>
      </c>
      <c r="P20" s="14">
        <f t="shared" si="0"/>
        <v>55</v>
      </c>
      <c r="Q20" s="14">
        <f>100+N20*10</f>
        <v>100</v>
      </c>
      <c r="R20" s="14">
        <v>1</v>
      </c>
      <c r="S20" s="14">
        <v>0</v>
      </c>
      <c r="T20" s="14">
        <f t="shared" si="5"/>
        <v>27.5</v>
      </c>
      <c r="U20" s="10">
        <f t="shared" si="1"/>
        <v>228.75</v>
      </c>
    </row>
    <row r="21" s="1" customFormat="1" spans="1:21">
      <c r="A21" s="10" t="s">
        <v>36</v>
      </c>
      <c r="B21" s="11">
        <f t="shared" si="2"/>
        <v>55</v>
      </c>
      <c r="C21" s="11">
        <f t="shared" si="3"/>
        <v>5</v>
      </c>
      <c r="D21" s="11">
        <v>150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4"/>
        <v>55</v>
      </c>
      <c r="K21" s="14">
        <f>40+N21*5</f>
        <v>40</v>
      </c>
      <c r="L21" s="14">
        <f>0+N21*5</f>
        <v>0</v>
      </c>
      <c r="M21" s="14">
        <v>600</v>
      </c>
      <c r="N21" s="14">
        <v>0</v>
      </c>
      <c r="O21" s="14">
        <v>0</v>
      </c>
      <c r="P21" s="14">
        <f t="shared" si="0"/>
        <v>45</v>
      </c>
      <c r="Q21" s="14">
        <v>100</v>
      </c>
      <c r="R21" s="14">
        <v>1</v>
      </c>
      <c r="S21" s="14">
        <v>0</v>
      </c>
      <c r="T21" s="14">
        <f t="shared" si="5"/>
        <v>15.75</v>
      </c>
      <c r="U21" s="10">
        <f t="shared" si="1"/>
        <v>306.375</v>
      </c>
    </row>
    <row r="22" s="1" customFormat="1" spans="1:21">
      <c r="A22" s="10" t="s">
        <v>37</v>
      </c>
      <c r="B22" s="11">
        <f t="shared" si="2"/>
        <v>55</v>
      </c>
      <c r="C22" s="11">
        <f t="shared" si="3"/>
        <v>5</v>
      </c>
      <c r="D22" s="11">
        <v>150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4"/>
        <v>50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0"/>
        <v>50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1"/>
        <v>400</v>
      </c>
    </row>
    <row r="23" s="1" customFormat="1" spans="1:21">
      <c r="A23" s="10" t="s">
        <v>38</v>
      </c>
      <c r="B23" s="11">
        <f t="shared" si="2"/>
        <v>55</v>
      </c>
      <c r="C23" s="11">
        <f t="shared" si="3"/>
        <v>5</v>
      </c>
      <c r="D23" s="11">
        <v>150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4"/>
        <v>35</v>
      </c>
      <c r="K23" s="14">
        <f>60+N23*10</f>
        <v>60</v>
      </c>
      <c r="L23" s="14">
        <f>20+N23*5</f>
        <v>20</v>
      </c>
      <c r="M23" s="14">
        <v>800</v>
      </c>
      <c r="N23" s="14">
        <v>0</v>
      </c>
      <c r="O23" s="14">
        <v>0</v>
      </c>
      <c r="P23" s="14">
        <f t="shared" si="0"/>
        <v>65</v>
      </c>
      <c r="Q23" s="14">
        <v>100</v>
      </c>
      <c r="R23" s="14">
        <v>1</v>
      </c>
      <c r="S23" s="14">
        <v>0</v>
      </c>
      <c r="T23" s="14">
        <f t="shared" si="5"/>
        <v>35.75</v>
      </c>
      <c r="U23" s="10">
        <f t="shared" si="1"/>
        <v>226.375</v>
      </c>
    </row>
    <row r="24" s="1" customFormat="1" spans="1:21">
      <c r="A24" s="10" t="s">
        <v>39</v>
      </c>
      <c r="B24" s="11">
        <f t="shared" si="2"/>
        <v>55</v>
      </c>
      <c r="C24" s="11">
        <f t="shared" si="3"/>
        <v>5</v>
      </c>
      <c r="D24" s="11">
        <v>150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4"/>
        <v>30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0"/>
        <v>70</v>
      </c>
      <c r="Q24" s="14">
        <v>100</v>
      </c>
      <c r="R24" s="14">
        <v>1</v>
      </c>
      <c r="S24" s="14">
        <v>0</v>
      </c>
      <c r="T24" s="14">
        <f>(K24-C24-F24)*(P24/Q24)*1.5</f>
        <v>68.25</v>
      </c>
      <c r="U24" s="10">
        <f t="shared" si="1"/>
        <v>197.625</v>
      </c>
    </row>
    <row r="25" s="1" customFormat="1" spans="1:21">
      <c r="A25" s="10" t="s">
        <v>40</v>
      </c>
      <c r="B25" s="11">
        <f t="shared" si="2"/>
        <v>55</v>
      </c>
      <c r="C25" s="11">
        <f t="shared" si="3"/>
        <v>5</v>
      </c>
      <c r="D25" s="11">
        <v>150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4"/>
        <v>35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0"/>
        <v>65</v>
      </c>
      <c r="Q25" s="14">
        <v>100</v>
      </c>
      <c r="R25" s="14">
        <v>1</v>
      </c>
      <c r="S25" s="14">
        <v>0</v>
      </c>
      <c r="T25" s="14">
        <f t="shared" si="5"/>
        <v>35.75</v>
      </c>
      <c r="U25" s="10">
        <f t="shared" si="1"/>
        <v>156.375</v>
      </c>
    </row>
    <row r="26" s="1" customFormat="1" spans="1:21">
      <c r="A26" s="10" t="s">
        <v>41</v>
      </c>
      <c r="B26" s="11">
        <f t="shared" si="2"/>
        <v>55</v>
      </c>
      <c r="C26" s="11">
        <f t="shared" si="3"/>
        <v>5</v>
      </c>
      <c r="D26" s="11">
        <v>150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4"/>
        <v>50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0"/>
        <v>50</v>
      </c>
      <c r="Q26" s="14">
        <v>100</v>
      </c>
      <c r="R26" s="14">
        <v>1</v>
      </c>
      <c r="S26" s="14">
        <v>0</v>
      </c>
      <c r="T26" s="14">
        <f t="shared" si="5"/>
        <v>17.5</v>
      </c>
      <c r="U26" s="10">
        <f t="shared" si="1"/>
        <v>48.75</v>
      </c>
    </row>
  </sheetData>
  <mergeCells count="14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A5:A6"/>
    <mergeCell ref="U5:U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zoomScale="90" zoomScaleNormal="90" workbookViewId="0">
      <selection activeCell="T17" sqref="T17"/>
    </sheetView>
  </sheetViews>
  <sheetFormatPr defaultColWidth="8.89090909090909" defaultRowHeight="14"/>
  <cols>
    <col min="1" max="1" width="15.6636363636364" customWidth="1"/>
    <col min="2" max="3" width="8.33636363636364" customWidth="1"/>
    <col min="4" max="7" width="6.10909090909091" customWidth="1"/>
    <col min="8" max="8" width="8.33636363636364" customWidth="1"/>
    <col min="9" max="9" width="18.1090909090909" customWidth="1"/>
    <col min="10" max="10" width="10.6636363636364" customWidth="1"/>
    <col min="11" max="12" width="8.33636363636364" customWidth="1"/>
    <col min="13" max="16" width="6.10909090909091" customWidth="1"/>
    <col min="17" max="17" width="8.33636363636364" customWidth="1"/>
    <col min="18" max="18" width="10.6636363636364" customWidth="1"/>
    <col min="19" max="19" width="18.1090909090909" customWidth="1"/>
    <col min="20" max="21" width="10.6636363636364" customWidth="1"/>
  </cols>
  <sheetData>
    <row r="1" ht="15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ht="15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ht="15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S4" s="1"/>
      <c r="T4" s="16" t="s">
        <v>6</v>
      </c>
      <c r="U4" s="17"/>
    </row>
    <row r="5" ht="15" spans="1:21">
      <c r="A5" s="7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ht="15" spans="1:21">
      <c r="A6" s="9"/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ht="15" spans="1:21">
      <c r="A7" s="10" t="s">
        <v>42</v>
      </c>
      <c r="B7" s="11">
        <f>50+E7*10</f>
        <v>50</v>
      </c>
      <c r="C7" s="11">
        <f t="shared" ref="C7:C10" si="0">5+E7*5</f>
        <v>5</v>
      </c>
      <c r="D7" s="11">
        <v>200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>(B7-L7-O7)*(G7/H7)</f>
        <v>45</v>
      </c>
      <c r="K7" s="15">
        <f>55+N7*10</f>
        <v>55</v>
      </c>
      <c r="L7" s="15">
        <f>5+N7*5</f>
        <v>5</v>
      </c>
      <c r="M7" s="15">
        <v>150</v>
      </c>
      <c r="N7" s="15">
        <v>0</v>
      </c>
      <c r="O7" s="14">
        <v>0</v>
      </c>
      <c r="P7" s="14">
        <f t="shared" ref="P7:P26" si="1">Q7-J7</f>
        <v>55</v>
      </c>
      <c r="Q7" s="14">
        <v>100</v>
      </c>
      <c r="R7" s="14">
        <v>1</v>
      </c>
      <c r="S7" s="14">
        <v>0</v>
      </c>
      <c r="T7" s="14">
        <f>(K7-C7-F7)*(P7/Q7)</f>
        <v>27.5</v>
      </c>
      <c r="U7" s="10">
        <f t="shared" ref="U7:U26" si="2">(M7*(N7/3+1)*(J7*R7+S7)-(D7*(E7/3+1))*(T7+I7))/100</f>
        <v>12.5</v>
      </c>
    </row>
    <row r="8" ht="15" spans="1:21">
      <c r="A8" s="10" t="s">
        <v>43</v>
      </c>
      <c r="B8" s="11">
        <f t="shared" ref="B8:B26" si="3">50+E8*10</f>
        <v>50</v>
      </c>
      <c r="C8" s="11">
        <f t="shared" ref="C8:C14" si="4">15+E8*5</f>
        <v>15</v>
      </c>
      <c r="D8" s="11">
        <v>200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ref="J8:J26" si="5">(B8-L8-O8)*(G8/H8)</f>
        <v>35</v>
      </c>
      <c r="K8" s="15">
        <f>50+N8*10</f>
        <v>50</v>
      </c>
      <c r="L8" s="15">
        <f>15+N8*5</f>
        <v>15</v>
      </c>
      <c r="M8" s="14">
        <v>200</v>
      </c>
      <c r="N8" s="15">
        <v>0</v>
      </c>
      <c r="O8" s="14">
        <v>0</v>
      </c>
      <c r="P8" s="14">
        <f t="shared" si="1"/>
        <v>65</v>
      </c>
      <c r="Q8" s="14">
        <v>100</v>
      </c>
      <c r="R8" s="14">
        <v>1</v>
      </c>
      <c r="S8" s="14">
        <v>0</v>
      </c>
      <c r="T8" s="14">
        <f t="shared" ref="T8:T26" si="6">(K8-C8-F8)*(P8/Q8)</f>
        <v>22.75</v>
      </c>
      <c r="U8" s="10">
        <f t="shared" si="2"/>
        <v>24.5</v>
      </c>
    </row>
    <row r="9" ht="15" spans="1:21">
      <c r="A9" s="10" t="s">
        <v>44</v>
      </c>
      <c r="B9" s="11">
        <f t="shared" si="3"/>
        <v>50</v>
      </c>
      <c r="C9" s="11">
        <f t="shared" si="0"/>
        <v>5</v>
      </c>
      <c r="D9" s="11">
        <v>200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5"/>
        <v>50</v>
      </c>
      <c r="K9" s="15">
        <f>40+N9*10</f>
        <v>40</v>
      </c>
      <c r="L9" s="15">
        <f>0+N9*5</f>
        <v>0</v>
      </c>
      <c r="M9" s="14">
        <v>200</v>
      </c>
      <c r="N9" s="15">
        <v>0</v>
      </c>
      <c r="O9" s="14">
        <v>0</v>
      </c>
      <c r="P9" s="14">
        <f t="shared" si="1"/>
        <v>50</v>
      </c>
      <c r="Q9" s="14">
        <v>100</v>
      </c>
      <c r="R9" s="14">
        <v>1</v>
      </c>
      <c r="S9" s="14">
        <v>0</v>
      </c>
      <c r="T9" s="14">
        <f t="shared" si="6"/>
        <v>17.5</v>
      </c>
      <c r="U9" s="10">
        <f t="shared" si="2"/>
        <v>65</v>
      </c>
    </row>
    <row r="10" ht="15" spans="1:21">
      <c r="A10" s="10" t="s">
        <v>45</v>
      </c>
      <c r="B10" s="11">
        <f t="shared" si="3"/>
        <v>50</v>
      </c>
      <c r="C10" s="11">
        <f t="shared" si="0"/>
        <v>5</v>
      </c>
      <c r="D10" s="11">
        <v>200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5"/>
        <v>45</v>
      </c>
      <c r="K10" s="15">
        <f>45+N10*10</f>
        <v>45</v>
      </c>
      <c r="L10" s="15">
        <f>5+N10*5</f>
        <v>5</v>
      </c>
      <c r="M10" s="14">
        <v>250</v>
      </c>
      <c r="N10" s="15">
        <v>0</v>
      </c>
      <c r="O10" s="14">
        <v>0</v>
      </c>
      <c r="P10" s="14">
        <f t="shared" si="1"/>
        <v>55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2"/>
        <v>112.5</v>
      </c>
    </row>
    <row r="11" ht="15" spans="1:21">
      <c r="A11" s="10" t="s">
        <v>46</v>
      </c>
      <c r="B11" s="11">
        <f t="shared" si="3"/>
        <v>50</v>
      </c>
      <c r="C11" s="11">
        <f t="shared" si="4"/>
        <v>15</v>
      </c>
      <c r="D11" s="11">
        <v>200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5"/>
        <v>60</v>
      </c>
      <c r="K11" s="15">
        <f>50+N11*10</f>
        <v>50</v>
      </c>
      <c r="L11" s="15">
        <f>-10+N11*5</f>
        <v>-10</v>
      </c>
      <c r="M11" s="14">
        <v>250</v>
      </c>
      <c r="N11" s="15">
        <v>0</v>
      </c>
      <c r="O11" s="14">
        <v>0</v>
      </c>
      <c r="P11" s="14">
        <f t="shared" si="1"/>
        <v>40</v>
      </c>
      <c r="Q11" s="14">
        <f>100+N11*5</f>
        <v>100</v>
      </c>
      <c r="R11" s="14">
        <v>1</v>
      </c>
      <c r="S11" s="14">
        <v>0</v>
      </c>
      <c r="T11" s="14">
        <f t="shared" si="6"/>
        <v>14</v>
      </c>
      <c r="U11" s="10">
        <f t="shared" si="2"/>
        <v>122</v>
      </c>
    </row>
    <row r="12" ht="15" spans="1:21">
      <c r="A12" s="10" t="s">
        <v>47</v>
      </c>
      <c r="B12" s="11">
        <f t="shared" si="3"/>
        <v>50</v>
      </c>
      <c r="C12" s="11">
        <f t="shared" ref="C12:C19" si="7">5+E12*5</f>
        <v>5</v>
      </c>
      <c r="D12" s="11">
        <v>200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5"/>
        <v>35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1"/>
        <v>65</v>
      </c>
      <c r="Q12" s="14">
        <v>100</v>
      </c>
      <c r="R12" s="14">
        <v>1</v>
      </c>
      <c r="S12" s="14">
        <v>0</v>
      </c>
      <c r="T12" s="14">
        <f t="shared" si="6"/>
        <v>35.75</v>
      </c>
      <c r="U12" s="10">
        <f t="shared" si="2"/>
        <v>33.5</v>
      </c>
    </row>
    <row r="13" ht="15" spans="1:21">
      <c r="A13" s="10" t="s">
        <v>48</v>
      </c>
      <c r="B13" s="11">
        <f t="shared" si="3"/>
        <v>50</v>
      </c>
      <c r="C13" s="11">
        <f t="shared" si="4"/>
        <v>15</v>
      </c>
      <c r="D13" s="11">
        <v>200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5"/>
        <v>30</v>
      </c>
      <c r="K13" s="15">
        <f>50+N13*10</f>
        <v>50</v>
      </c>
      <c r="L13" s="15">
        <f>20+N13*5</f>
        <v>20</v>
      </c>
      <c r="M13" s="14">
        <v>300</v>
      </c>
      <c r="N13" s="15">
        <v>0</v>
      </c>
      <c r="O13" s="14">
        <v>0</v>
      </c>
      <c r="P13" s="14">
        <f t="shared" si="1"/>
        <v>70</v>
      </c>
      <c r="Q13" s="14">
        <v>100</v>
      </c>
      <c r="R13" s="14">
        <v>1</v>
      </c>
      <c r="S13" s="14">
        <v>0</v>
      </c>
      <c r="T13" s="14">
        <f t="shared" si="6"/>
        <v>24.5</v>
      </c>
      <c r="U13" s="10">
        <f t="shared" si="2"/>
        <v>41</v>
      </c>
    </row>
    <row r="14" ht="15" spans="1:21">
      <c r="A14" s="10" t="s">
        <v>49</v>
      </c>
      <c r="B14" s="11">
        <f t="shared" si="3"/>
        <v>50</v>
      </c>
      <c r="C14" s="11">
        <f t="shared" si="4"/>
        <v>15</v>
      </c>
      <c r="D14" s="11">
        <v>200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5"/>
        <v>10</v>
      </c>
      <c r="K14" s="14">
        <f>45+N14*5</f>
        <v>45</v>
      </c>
      <c r="L14" s="15">
        <f>40+N14*5</f>
        <v>40</v>
      </c>
      <c r="M14" s="14">
        <v>400</v>
      </c>
      <c r="N14" s="15">
        <v>0</v>
      </c>
      <c r="O14" s="14">
        <v>0</v>
      </c>
      <c r="P14" s="14">
        <f t="shared" si="1"/>
        <v>90</v>
      </c>
      <c r="Q14" s="14">
        <v>100</v>
      </c>
      <c r="R14" s="14">
        <v>1</v>
      </c>
      <c r="S14" s="14">
        <v>0</v>
      </c>
      <c r="T14" s="14">
        <f t="shared" si="6"/>
        <v>27</v>
      </c>
      <c r="U14" s="10">
        <f t="shared" si="2"/>
        <v>-14</v>
      </c>
    </row>
    <row r="15" ht="15" spans="1:21">
      <c r="A15" s="10" t="s">
        <v>50</v>
      </c>
      <c r="B15" s="11">
        <f t="shared" si="3"/>
        <v>50</v>
      </c>
      <c r="C15" s="11">
        <f t="shared" si="7"/>
        <v>5</v>
      </c>
      <c r="D15" s="11">
        <v>200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5"/>
        <v>40</v>
      </c>
      <c r="K15" s="14">
        <f>50+N15*5</f>
        <v>50</v>
      </c>
      <c r="L15" s="15">
        <f>10+N15*5</f>
        <v>10</v>
      </c>
      <c r="M15" s="14">
        <v>400</v>
      </c>
      <c r="N15" s="15">
        <v>0</v>
      </c>
      <c r="O15" s="14">
        <v>0</v>
      </c>
      <c r="P15" s="14">
        <f t="shared" si="1"/>
        <v>60</v>
      </c>
      <c r="Q15" s="14">
        <v>100</v>
      </c>
      <c r="R15" s="14">
        <v>1</v>
      </c>
      <c r="S15" s="14">
        <v>0</v>
      </c>
      <c r="T15" s="14">
        <f t="shared" si="6"/>
        <v>27</v>
      </c>
      <c r="U15" s="10">
        <f t="shared" si="2"/>
        <v>106</v>
      </c>
    </row>
    <row r="16" ht="15" spans="1:21">
      <c r="A16" s="10" t="s">
        <v>51</v>
      </c>
      <c r="B16" s="11">
        <f t="shared" si="3"/>
        <v>50</v>
      </c>
      <c r="C16" s="11">
        <f t="shared" ref="C16:C21" si="8">15+E16*5</f>
        <v>15</v>
      </c>
      <c r="D16" s="11">
        <v>200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5"/>
        <v>20</v>
      </c>
      <c r="K16" s="14">
        <f>55+N16*5</f>
        <v>55</v>
      </c>
      <c r="L16" s="15">
        <f>30+N16*5</f>
        <v>30</v>
      </c>
      <c r="M16" s="14">
        <v>500</v>
      </c>
      <c r="N16" s="15">
        <v>0</v>
      </c>
      <c r="O16" s="14">
        <v>0</v>
      </c>
      <c r="P16" s="14">
        <f t="shared" si="1"/>
        <v>80</v>
      </c>
      <c r="Q16" s="14">
        <v>100</v>
      </c>
      <c r="R16" s="14">
        <v>1</v>
      </c>
      <c r="S16" s="14">
        <v>0</v>
      </c>
      <c r="T16" s="14">
        <f t="shared" si="6"/>
        <v>32</v>
      </c>
      <c r="U16" s="10">
        <f t="shared" si="2"/>
        <v>36</v>
      </c>
    </row>
    <row r="17" ht="15" spans="1:21">
      <c r="A17" s="10" t="s">
        <v>52</v>
      </c>
      <c r="B17" s="11">
        <f t="shared" si="3"/>
        <v>50</v>
      </c>
      <c r="C17" s="11">
        <f t="shared" si="7"/>
        <v>5</v>
      </c>
      <c r="D17" s="11">
        <v>200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5"/>
        <v>40</v>
      </c>
      <c r="K17" s="14">
        <f>70+N17*10</f>
        <v>70</v>
      </c>
      <c r="L17" s="14">
        <f>10+N17*5</f>
        <v>10</v>
      </c>
      <c r="M17" s="14">
        <v>500</v>
      </c>
      <c r="N17" s="14">
        <v>0</v>
      </c>
      <c r="O17" s="14">
        <v>0</v>
      </c>
      <c r="P17" s="14">
        <f t="shared" si="1"/>
        <v>60</v>
      </c>
      <c r="Q17" s="14">
        <v>100</v>
      </c>
      <c r="R17" s="14">
        <v>1</v>
      </c>
      <c r="S17" s="14">
        <v>0</v>
      </c>
      <c r="T17" s="14">
        <f>(K17-C17-F17)*1</f>
        <v>65</v>
      </c>
      <c r="U17" s="10">
        <f t="shared" si="2"/>
        <v>70</v>
      </c>
    </row>
    <row r="18" ht="15" spans="1:21">
      <c r="A18" s="10" t="s">
        <v>53</v>
      </c>
      <c r="B18" s="11">
        <f t="shared" si="3"/>
        <v>50</v>
      </c>
      <c r="C18" s="11">
        <f t="shared" si="7"/>
        <v>5</v>
      </c>
      <c r="D18" s="11">
        <v>200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5"/>
        <v>40</v>
      </c>
      <c r="K18" s="14">
        <f>75+N18*10</f>
        <v>75</v>
      </c>
      <c r="L18" s="14">
        <f>10+N18*5</f>
        <v>10</v>
      </c>
      <c r="M18" s="14">
        <v>600</v>
      </c>
      <c r="N18" s="15">
        <v>0</v>
      </c>
      <c r="O18" s="14">
        <v>0</v>
      </c>
      <c r="P18" s="14">
        <f t="shared" si="1"/>
        <v>60</v>
      </c>
      <c r="Q18" s="14">
        <v>100</v>
      </c>
      <c r="R18" s="14">
        <v>1</v>
      </c>
      <c r="S18" s="14">
        <v>0</v>
      </c>
      <c r="T18" s="14">
        <f t="shared" si="6"/>
        <v>42</v>
      </c>
      <c r="U18" s="10">
        <f t="shared" si="2"/>
        <v>156</v>
      </c>
    </row>
    <row r="19" ht="15" spans="1:21">
      <c r="A19" s="10" t="s">
        <v>54</v>
      </c>
      <c r="B19" s="11">
        <f t="shared" si="3"/>
        <v>50</v>
      </c>
      <c r="C19" s="11">
        <f t="shared" si="7"/>
        <v>5</v>
      </c>
      <c r="D19" s="11">
        <v>200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5"/>
        <v>40</v>
      </c>
      <c r="K19" s="14">
        <f>55+N19*5</f>
        <v>55</v>
      </c>
      <c r="L19" s="14">
        <f>10+N19*5</f>
        <v>10</v>
      </c>
      <c r="M19" s="14">
        <v>600</v>
      </c>
      <c r="N19" s="14">
        <v>0</v>
      </c>
      <c r="O19" s="14">
        <v>0</v>
      </c>
      <c r="P19" s="14">
        <f t="shared" si="1"/>
        <v>60</v>
      </c>
      <c r="Q19" s="14">
        <f>100+N19*25</f>
        <v>100</v>
      </c>
      <c r="R19" s="14">
        <v>1</v>
      </c>
      <c r="S19" s="14">
        <v>0</v>
      </c>
      <c r="T19" s="14">
        <f t="shared" si="6"/>
        <v>30</v>
      </c>
      <c r="U19" s="10">
        <f t="shared" si="2"/>
        <v>180</v>
      </c>
    </row>
    <row r="20" ht="15" spans="1:21">
      <c r="A20" s="10" t="s">
        <v>55</v>
      </c>
      <c r="B20" s="11">
        <f t="shared" si="3"/>
        <v>50</v>
      </c>
      <c r="C20" s="11">
        <f t="shared" si="8"/>
        <v>15</v>
      </c>
      <c r="D20" s="11">
        <v>200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5"/>
        <v>30</v>
      </c>
      <c r="K20" s="14">
        <f>55+N20*10</f>
        <v>55</v>
      </c>
      <c r="L20" s="14">
        <f>20+N20*5</f>
        <v>20</v>
      </c>
      <c r="M20" s="14">
        <v>600</v>
      </c>
      <c r="N20" s="15">
        <v>0</v>
      </c>
      <c r="O20" s="14">
        <v>0</v>
      </c>
      <c r="P20" s="14">
        <f t="shared" si="1"/>
        <v>70</v>
      </c>
      <c r="Q20" s="14">
        <f>100+N20*10</f>
        <v>100</v>
      </c>
      <c r="R20" s="14">
        <v>1</v>
      </c>
      <c r="S20" s="14">
        <v>0</v>
      </c>
      <c r="T20" s="14">
        <f t="shared" si="6"/>
        <v>28</v>
      </c>
      <c r="U20" s="10">
        <f t="shared" si="2"/>
        <v>124</v>
      </c>
    </row>
    <row r="21" ht="15" spans="1:21">
      <c r="A21" s="10" t="s">
        <v>56</v>
      </c>
      <c r="B21" s="11">
        <f t="shared" si="3"/>
        <v>50</v>
      </c>
      <c r="C21" s="11">
        <f t="shared" si="8"/>
        <v>15</v>
      </c>
      <c r="D21" s="11">
        <v>200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5"/>
        <v>20</v>
      </c>
      <c r="K21" s="14">
        <f>40+N21*5</f>
        <v>40</v>
      </c>
      <c r="L21" s="14">
        <f>30+N21*5</f>
        <v>30</v>
      </c>
      <c r="M21" s="14">
        <v>600</v>
      </c>
      <c r="N21" s="14">
        <v>0</v>
      </c>
      <c r="O21" s="14">
        <v>0</v>
      </c>
      <c r="P21" s="14">
        <f t="shared" si="1"/>
        <v>80</v>
      </c>
      <c r="Q21" s="14">
        <v>100</v>
      </c>
      <c r="R21" s="14">
        <v>1</v>
      </c>
      <c r="S21" s="14">
        <v>0</v>
      </c>
      <c r="T21" s="14">
        <f t="shared" si="6"/>
        <v>20</v>
      </c>
      <c r="U21" s="10">
        <f t="shared" si="2"/>
        <v>80</v>
      </c>
    </row>
    <row r="22" ht="15" spans="1:21">
      <c r="A22" s="10" t="s">
        <v>57</v>
      </c>
      <c r="B22" s="11">
        <f t="shared" si="3"/>
        <v>50</v>
      </c>
      <c r="C22" s="11">
        <f t="shared" ref="C22:C26" si="9">5+E22*5</f>
        <v>5</v>
      </c>
      <c r="D22" s="11">
        <v>200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5"/>
        <v>45</v>
      </c>
      <c r="K22" s="14">
        <f>60+N22*10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1"/>
        <v>55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2"/>
        <v>360</v>
      </c>
    </row>
    <row r="23" ht="15" spans="1:21">
      <c r="A23" s="10" t="s">
        <v>58</v>
      </c>
      <c r="B23" s="11">
        <f t="shared" si="3"/>
        <v>50</v>
      </c>
      <c r="C23" s="11">
        <f t="shared" si="9"/>
        <v>5</v>
      </c>
      <c r="D23" s="11">
        <v>200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5"/>
        <v>40</v>
      </c>
      <c r="K23" s="14">
        <f>60+N23*10</f>
        <v>60</v>
      </c>
      <c r="L23" s="14">
        <f>10+N23*5</f>
        <v>10</v>
      </c>
      <c r="M23" s="14">
        <v>800</v>
      </c>
      <c r="N23" s="14">
        <v>0</v>
      </c>
      <c r="O23" s="14">
        <v>0</v>
      </c>
      <c r="P23" s="14">
        <f t="shared" si="1"/>
        <v>60</v>
      </c>
      <c r="Q23" s="14">
        <v>100</v>
      </c>
      <c r="R23" s="14">
        <v>1</v>
      </c>
      <c r="S23" s="14">
        <v>0</v>
      </c>
      <c r="T23" s="14">
        <f t="shared" si="6"/>
        <v>33</v>
      </c>
      <c r="U23" s="10">
        <f t="shared" si="2"/>
        <v>254</v>
      </c>
    </row>
    <row r="24" ht="15" spans="1:21">
      <c r="A24" s="10" t="s">
        <v>59</v>
      </c>
      <c r="B24" s="11">
        <f t="shared" si="3"/>
        <v>50</v>
      </c>
      <c r="C24" s="11">
        <f>15+E24*5</f>
        <v>15</v>
      </c>
      <c r="D24" s="11">
        <v>200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5"/>
        <v>25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1"/>
        <v>75</v>
      </c>
      <c r="Q24" s="14">
        <v>100</v>
      </c>
      <c r="R24" s="14">
        <v>1</v>
      </c>
      <c r="S24" s="14">
        <v>0</v>
      </c>
      <c r="T24" s="14">
        <f>(K24-C24-F24)*(P24/Q24)*1.5</f>
        <v>61.875</v>
      </c>
      <c r="U24" s="10">
        <f t="shared" si="2"/>
        <v>126.25</v>
      </c>
    </row>
    <row r="25" ht="15" spans="1:21">
      <c r="A25" s="10" t="s">
        <v>60</v>
      </c>
      <c r="B25" s="11">
        <f t="shared" si="3"/>
        <v>50</v>
      </c>
      <c r="C25" s="11">
        <f t="shared" si="9"/>
        <v>5</v>
      </c>
      <c r="D25" s="11">
        <v>200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5"/>
        <v>30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1"/>
        <v>70</v>
      </c>
      <c r="Q25" s="14">
        <v>100</v>
      </c>
      <c r="R25" s="14">
        <v>1</v>
      </c>
      <c r="S25" s="14">
        <v>0</v>
      </c>
      <c r="T25" s="14">
        <f t="shared" si="6"/>
        <v>38.5</v>
      </c>
      <c r="U25" s="10">
        <f t="shared" si="2"/>
        <v>103</v>
      </c>
    </row>
    <row r="26" ht="15" spans="1:21">
      <c r="A26" s="10" t="s">
        <v>61</v>
      </c>
      <c r="B26" s="11">
        <f t="shared" si="3"/>
        <v>50</v>
      </c>
      <c r="C26" s="11">
        <f t="shared" si="9"/>
        <v>5</v>
      </c>
      <c r="D26" s="11">
        <v>200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5"/>
        <v>45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1"/>
        <v>55</v>
      </c>
      <c r="Q26" s="14">
        <v>100</v>
      </c>
      <c r="R26" s="14">
        <v>1</v>
      </c>
      <c r="S26" s="14">
        <v>0</v>
      </c>
      <c r="T26" s="14">
        <f t="shared" si="6"/>
        <v>19.25</v>
      </c>
      <c r="U26" s="10">
        <f t="shared" si="2"/>
        <v>29</v>
      </c>
    </row>
  </sheetData>
  <mergeCells count="14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A5:A6"/>
    <mergeCell ref="U5:U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zoomScale="90" zoomScaleNormal="90" topLeftCell="A25" workbookViewId="0">
      <selection activeCell="Q30" sqref="Q30:Q49"/>
    </sheetView>
  </sheetViews>
  <sheetFormatPr defaultColWidth="8.89090909090909" defaultRowHeight="14"/>
  <cols>
    <col min="1" max="1" width="15.6636363636364" customWidth="1"/>
    <col min="2" max="3" width="8.33636363636364" customWidth="1"/>
    <col min="4" max="7" width="6.10909090909091" customWidth="1"/>
    <col min="8" max="8" width="8.33636363636364" customWidth="1"/>
    <col min="9" max="9" width="18.1090909090909" customWidth="1"/>
    <col min="10" max="10" width="10.6636363636364" customWidth="1"/>
    <col min="11" max="12" width="8.33636363636364" customWidth="1"/>
    <col min="13" max="16" width="6.10909090909091" customWidth="1"/>
    <col min="17" max="17" width="8.33636363636364" customWidth="1"/>
    <col min="18" max="18" width="10.6636363636364" customWidth="1"/>
    <col min="19" max="19" width="18.1090909090909" customWidth="1"/>
    <col min="20" max="21" width="10.6636363636364" customWidth="1"/>
  </cols>
  <sheetData>
    <row r="1" ht="15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ht="15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ht="15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S4" s="1"/>
      <c r="T4" s="16" t="s">
        <v>6</v>
      </c>
      <c r="U4" s="17"/>
    </row>
    <row r="5" ht="15" spans="1:21">
      <c r="A5" s="10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ht="15" spans="1:21">
      <c r="A6" s="10" t="s">
        <v>62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ht="15" spans="1:21">
      <c r="A7" s="10" t="s">
        <v>63</v>
      </c>
      <c r="B7" s="11">
        <f>40+E7*10</f>
        <v>40</v>
      </c>
      <c r="C7" s="11">
        <f>0+E7*5</f>
        <v>0</v>
      </c>
      <c r="D7" s="11">
        <v>200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>(B7-L7-O7)*(G7/H7)</f>
        <v>35</v>
      </c>
      <c r="K7" s="15">
        <f>55+N7*10</f>
        <v>55</v>
      </c>
      <c r="L7" s="15">
        <f t="shared" ref="L7:L10" si="0">5+N7*5</f>
        <v>5</v>
      </c>
      <c r="M7" s="15">
        <v>150</v>
      </c>
      <c r="N7" s="15">
        <v>0</v>
      </c>
      <c r="O7" s="14">
        <v>0</v>
      </c>
      <c r="P7" s="14">
        <f t="shared" ref="P7:P26" si="1">Q7-J7</f>
        <v>65</v>
      </c>
      <c r="Q7" s="14">
        <v>100</v>
      </c>
      <c r="R7" s="14">
        <v>1</v>
      </c>
      <c r="S7" s="14">
        <v>0</v>
      </c>
      <c r="T7" s="14">
        <f>(K7-C7-F7)*(P7/Q7)</f>
        <v>35.75</v>
      </c>
      <c r="U7" s="10">
        <f t="shared" ref="U7:U26" si="2">(M7*(N7/3+1)*(J7*R7+S7)-(D7*(E7/3+1))*(T7+I7))/100</f>
        <v>-19</v>
      </c>
    </row>
    <row r="8" ht="15" spans="1:21">
      <c r="A8" s="10" t="s">
        <v>64</v>
      </c>
      <c r="B8" s="11">
        <f t="shared" ref="B8:B26" si="3">40+E8*10</f>
        <v>40</v>
      </c>
      <c r="C8" s="11">
        <f t="shared" ref="C8:C26" si="4">0+E8*5</f>
        <v>0</v>
      </c>
      <c r="D8" s="11">
        <v>200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ref="J8:J26" si="5">(B8-L8-O8)*(G8/H8)</f>
        <v>35</v>
      </c>
      <c r="K8" s="15">
        <f t="shared" ref="K8:K13" si="6">50+N8*10</f>
        <v>50</v>
      </c>
      <c r="L8" s="15">
        <f t="shared" si="0"/>
        <v>5</v>
      </c>
      <c r="M8" s="14">
        <v>200</v>
      </c>
      <c r="N8" s="15">
        <v>0</v>
      </c>
      <c r="O8" s="14">
        <v>0</v>
      </c>
      <c r="P8" s="14">
        <f t="shared" si="1"/>
        <v>65</v>
      </c>
      <c r="Q8" s="14">
        <v>100</v>
      </c>
      <c r="R8" s="14">
        <v>1</v>
      </c>
      <c r="S8" s="14">
        <v>0</v>
      </c>
      <c r="T8" s="14">
        <f t="shared" ref="T8:T26" si="7">(K8-C8-F8)*(P8/Q8)</f>
        <v>32.5</v>
      </c>
      <c r="U8" s="10">
        <f t="shared" si="2"/>
        <v>5</v>
      </c>
    </row>
    <row r="9" ht="15" spans="1:21">
      <c r="A9" s="10" t="s">
        <v>65</v>
      </c>
      <c r="B9" s="11">
        <f t="shared" si="3"/>
        <v>40</v>
      </c>
      <c r="C9" s="11">
        <f t="shared" si="4"/>
        <v>0</v>
      </c>
      <c r="D9" s="11">
        <v>200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5"/>
        <v>40</v>
      </c>
      <c r="K9" s="15">
        <f>40+N9*10</f>
        <v>40</v>
      </c>
      <c r="L9" s="15">
        <f t="shared" ref="L9:L14" si="8">0+N9*5</f>
        <v>0</v>
      </c>
      <c r="M9" s="14">
        <v>200</v>
      </c>
      <c r="N9" s="15">
        <v>0</v>
      </c>
      <c r="O9" s="14">
        <v>0</v>
      </c>
      <c r="P9" s="14">
        <f t="shared" si="1"/>
        <v>60</v>
      </c>
      <c r="Q9" s="14">
        <v>100</v>
      </c>
      <c r="R9" s="14">
        <v>1</v>
      </c>
      <c r="S9" s="14">
        <v>0</v>
      </c>
      <c r="T9" s="14">
        <f t="shared" si="7"/>
        <v>24</v>
      </c>
      <c r="U9" s="10">
        <f t="shared" si="2"/>
        <v>32</v>
      </c>
    </row>
    <row r="10" ht="15" spans="1:21">
      <c r="A10" s="10" t="s">
        <v>66</v>
      </c>
      <c r="B10" s="11">
        <f t="shared" si="3"/>
        <v>40</v>
      </c>
      <c r="C10" s="11">
        <f t="shared" si="4"/>
        <v>0</v>
      </c>
      <c r="D10" s="11">
        <v>200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5"/>
        <v>35</v>
      </c>
      <c r="K10" s="15">
        <f>45+N10*10</f>
        <v>45</v>
      </c>
      <c r="L10" s="15">
        <f t="shared" si="0"/>
        <v>5</v>
      </c>
      <c r="M10" s="14">
        <v>250</v>
      </c>
      <c r="N10" s="15">
        <v>0</v>
      </c>
      <c r="O10" s="14">
        <v>0</v>
      </c>
      <c r="P10" s="14">
        <f t="shared" si="1"/>
        <v>65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2"/>
        <v>87.5</v>
      </c>
    </row>
    <row r="11" ht="15" spans="1:21">
      <c r="A11" s="10" t="s">
        <v>67</v>
      </c>
      <c r="B11" s="11">
        <f t="shared" si="3"/>
        <v>40</v>
      </c>
      <c r="C11" s="11">
        <f t="shared" si="4"/>
        <v>0</v>
      </c>
      <c r="D11" s="11">
        <v>200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5"/>
        <v>0</v>
      </c>
      <c r="K11" s="15">
        <f t="shared" si="6"/>
        <v>50</v>
      </c>
      <c r="L11" s="15">
        <f>40+N11*5</f>
        <v>40</v>
      </c>
      <c r="M11" s="14">
        <v>250</v>
      </c>
      <c r="N11" s="15">
        <v>0</v>
      </c>
      <c r="O11" s="14">
        <v>0</v>
      </c>
      <c r="P11" s="14">
        <f t="shared" si="1"/>
        <v>100</v>
      </c>
      <c r="Q11" s="14">
        <f>100+N11*5</f>
        <v>100</v>
      </c>
      <c r="R11" s="14">
        <v>1</v>
      </c>
      <c r="S11" s="14">
        <v>0</v>
      </c>
      <c r="T11" s="14">
        <f t="shared" si="7"/>
        <v>50</v>
      </c>
      <c r="U11" s="10">
        <f t="shared" si="2"/>
        <v>-100</v>
      </c>
    </row>
    <row r="12" ht="15" spans="1:21">
      <c r="A12" s="10" t="s">
        <v>68</v>
      </c>
      <c r="B12" s="11">
        <f t="shared" si="3"/>
        <v>40</v>
      </c>
      <c r="C12" s="11">
        <f t="shared" si="4"/>
        <v>0</v>
      </c>
      <c r="D12" s="11">
        <v>200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5"/>
        <v>25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1"/>
        <v>75</v>
      </c>
      <c r="Q12" s="14">
        <v>100</v>
      </c>
      <c r="R12" s="14">
        <v>1</v>
      </c>
      <c r="S12" s="14">
        <v>0</v>
      </c>
      <c r="T12" s="14">
        <f t="shared" si="7"/>
        <v>45</v>
      </c>
      <c r="U12" s="10">
        <f t="shared" si="2"/>
        <v>-15</v>
      </c>
    </row>
    <row r="13" ht="15" spans="1:21">
      <c r="A13" s="10" t="s">
        <v>69</v>
      </c>
      <c r="B13" s="11">
        <f t="shared" si="3"/>
        <v>40</v>
      </c>
      <c r="C13" s="11">
        <f t="shared" si="4"/>
        <v>0</v>
      </c>
      <c r="D13" s="11">
        <v>200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5"/>
        <v>40</v>
      </c>
      <c r="K13" s="15">
        <f t="shared" si="6"/>
        <v>50</v>
      </c>
      <c r="L13" s="15">
        <f t="shared" si="8"/>
        <v>0</v>
      </c>
      <c r="M13" s="14">
        <v>300</v>
      </c>
      <c r="N13" s="15">
        <v>0</v>
      </c>
      <c r="O13" s="14">
        <v>0</v>
      </c>
      <c r="P13" s="14">
        <f t="shared" si="1"/>
        <v>60</v>
      </c>
      <c r="Q13" s="14">
        <v>100</v>
      </c>
      <c r="R13" s="14">
        <v>1</v>
      </c>
      <c r="S13" s="14">
        <v>0</v>
      </c>
      <c r="T13" s="14">
        <f t="shared" si="7"/>
        <v>30</v>
      </c>
      <c r="U13" s="10">
        <f t="shared" si="2"/>
        <v>60</v>
      </c>
    </row>
    <row r="14" ht="15" spans="1:21">
      <c r="A14" s="10" t="s">
        <v>70</v>
      </c>
      <c r="B14" s="11">
        <f t="shared" si="3"/>
        <v>40</v>
      </c>
      <c r="C14" s="11">
        <f t="shared" si="4"/>
        <v>0</v>
      </c>
      <c r="D14" s="11">
        <v>200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5"/>
        <v>40</v>
      </c>
      <c r="K14" s="15">
        <f>45+N14*5</f>
        <v>45</v>
      </c>
      <c r="L14" s="15">
        <f t="shared" si="8"/>
        <v>0</v>
      </c>
      <c r="M14" s="14">
        <v>400</v>
      </c>
      <c r="N14" s="15">
        <v>0</v>
      </c>
      <c r="O14" s="14">
        <v>0</v>
      </c>
      <c r="P14" s="14">
        <f t="shared" si="1"/>
        <v>60</v>
      </c>
      <c r="Q14" s="14">
        <v>100</v>
      </c>
      <c r="R14" s="14">
        <v>1</v>
      </c>
      <c r="S14" s="14">
        <v>0</v>
      </c>
      <c r="T14" s="14">
        <f t="shared" si="7"/>
        <v>27</v>
      </c>
      <c r="U14" s="10">
        <f t="shared" si="2"/>
        <v>106</v>
      </c>
    </row>
    <row r="15" ht="15" spans="1:21">
      <c r="A15" s="10" t="s">
        <v>71</v>
      </c>
      <c r="B15" s="11">
        <f t="shared" si="3"/>
        <v>40</v>
      </c>
      <c r="C15" s="11">
        <f t="shared" si="4"/>
        <v>0</v>
      </c>
      <c r="D15" s="11">
        <v>200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5"/>
        <v>30</v>
      </c>
      <c r="K15" s="15">
        <f>50+N15*5</f>
        <v>50</v>
      </c>
      <c r="L15" s="15">
        <f>10+N15*5</f>
        <v>10</v>
      </c>
      <c r="M15" s="14">
        <v>400</v>
      </c>
      <c r="N15" s="15">
        <v>0</v>
      </c>
      <c r="O15" s="14">
        <v>0</v>
      </c>
      <c r="P15" s="14">
        <f t="shared" si="1"/>
        <v>70</v>
      </c>
      <c r="Q15" s="14">
        <v>100</v>
      </c>
      <c r="R15" s="14">
        <v>1</v>
      </c>
      <c r="S15" s="14">
        <v>0</v>
      </c>
      <c r="T15" s="14">
        <f t="shared" si="7"/>
        <v>35</v>
      </c>
      <c r="U15" s="10">
        <f t="shared" si="2"/>
        <v>50</v>
      </c>
    </row>
    <row r="16" ht="15" spans="1:21">
      <c r="A16" s="10" t="s">
        <v>72</v>
      </c>
      <c r="B16" s="11">
        <f t="shared" si="3"/>
        <v>40</v>
      </c>
      <c r="C16" s="11">
        <f t="shared" si="4"/>
        <v>0</v>
      </c>
      <c r="D16" s="11">
        <v>200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5"/>
        <v>20</v>
      </c>
      <c r="K16" s="15">
        <f>55+N16*5</f>
        <v>55</v>
      </c>
      <c r="L16" s="15">
        <f t="shared" ref="L16:L18" si="9">20+N16*5</f>
        <v>20</v>
      </c>
      <c r="M16" s="14">
        <v>500</v>
      </c>
      <c r="N16" s="15">
        <v>0</v>
      </c>
      <c r="O16" s="14">
        <v>0</v>
      </c>
      <c r="P16" s="14">
        <f t="shared" si="1"/>
        <v>80</v>
      </c>
      <c r="Q16" s="14">
        <v>100</v>
      </c>
      <c r="R16" s="14">
        <v>1</v>
      </c>
      <c r="S16" s="14">
        <v>0</v>
      </c>
      <c r="T16" s="14">
        <f t="shared" si="7"/>
        <v>44</v>
      </c>
      <c r="U16" s="10">
        <f t="shared" si="2"/>
        <v>12</v>
      </c>
    </row>
    <row r="17" ht="15" spans="1:21">
      <c r="A17" s="10" t="s">
        <v>73</v>
      </c>
      <c r="B17" s="11">
        <f t="shared" si="3"/>
        <v>40</v>
      </c>
      <c r="C17" s="11">
        <f t="shared" si="4"/>
        <v>0</v>
      </c>
      <c r="D17" s="11">
        <v>200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5"/>
        <v>20</v>
      </c>
      <c r="K17" s="14">
        <f>70+N17*10</f>
        <v>70</v>
      </c>
      <c r="L17" s="14">
        <f t="shared" si="9"/>
        <v>20</v>
      </c>
      <c r="M17" s="14">
        <v>500</v>
      </c>
      <c r="N17" s="14">
        <v>0</v>
      </c>
      <c r="O17" s="14">
        <v>0</v>
      </c>
      <c r="P17" s="14">
        <f t="shared" si="1"/>
        <v>80</v>
      </c>
      <c r="Q17" s="14">
        <v>100</v>
      </c>
      <c r="R17" s="14">
        <v>1</v>
      </c>
      <c r="S17" s="14">
        <v>0</v>
      </c>
      <c r="T17" s="14">
        <f>(K17-C17-F17)*1</f>
        <v>70</v>
      </c>
      <c r="U17" s="10">
        <f t="shared" si="2"/>
        <v>-40</v>
      </c>
    </row>
    <row r="18" ht="15" spans="1:21">
      <c r="A18" s="10" t="s">
        <v>74</v>
      </c>
      <c r="B18" s="11">
        <f t="shared" si="3"/>
        <v>40</v>
      </c>
      <c r="C18" s="11">
        <f t="shared" si="4"/>
        <v>0</v>
      </c>
      <c r="D18" s="11">
        <v>200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5"/>
        <v>20</v>
      </c>
      <c r="K18" s="14">
        <f>75+N18*10</f>
        <v>75</v>
      </c>
      <c r="L18" s="14">
        <f t="shared" si="9"/>
        <v>20</v>
      </c>
      <c r="M18" s="14">
        <v>600</v>
      </c>
      <c r="N18" s="15">
        <v>0</v>
      </c>
      <c r="O18" s="14">
        <v>0</v>
      </c>
      <c r="P18" s="14">
        <f t="shared" si="1"/>
        <v>80</v>
      </c>
      <c r="Q18" s="14">
        <v>100</v>
      </c>
      <c r="R18" s="14">
        <v>1</v>
      </c>
      <c r="S18" s="14">
        <v>0</v>
      </c>
      <c r="T18" s="14">
        <f t="shared" si="7"/>
        <v>60</v>
      </c>
      <c r="U18" s="10">
        <f t="shared" si="2"/>
        <v>0</v>
      </c>
    </row>
    <row r="19" ht="15" spans="1:21">
      <c r="A19" s="10" t="s">
        <v>75</v>
      </c>
      <c r="B19" s="11">
        <f t="shared" si="3"/>
        <v>40</v>
      </c>
      <c r="C19" s="11">
        <f t="shared" si="4"/>
        <v>0</v>
      </c>
      <c r="D19" s="11">
        <v>200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5"/>
        <v>10</v>
      </c>
      <c r="K19" s="14">
        <f>55+N19*5</f>
        <v>55</v>
      </c>
      <c r="L19" s="14">
        <f>30+N19*5</f>
        <v>30</v>
      </c>
      <c r="M19" s="14">
        <v>600</v>
      </c>
      <c r="N19" s="14">
        <v>0</v>
      </c>
      <c r="O19" s="14">
        <v>0</v>
      </c>
      <c r="P19" s="14">
        <f t="shared" si="1"/>
        <v>90</v>
      </c>
      <c r="Q19" s="14">
        <f>100+N19*25</f>
        <v>100</v>
      </c>
      <c r="R19" s="14">
        <v>1</v>
      </c>
      <c r="S19" s="14">
        <v>0</v>
      </c>
      <c r="T19" s="14">
        <f t="shared" si="7"/>
        <v>49.5</v>
      </c>
      <c r="U19" s="10">
        <f t="shared" si="2"/>
        <v>-39</v>
      </c>
    </row>
    <row r="20" ht="15" spans="1:21">
      <c r="A20" s="10" t="s">
        <v>76</v>
      </c>
      <c r="B20" s="11">
        <f t="shared" si="3"/>
        <v>40</v>
      </c>
      <c r="C20" s="11">
        <f t="shared" si="4"/>
        <v>0</v>
      </c>
      <c r="D20" s="11">
        <v>200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5"/>
        <v>30</v>
      </c>
      <c r="K20" s="14">
        <f>55+N20*10</f>
        <v>55</v>
      </c>
      <c r="L20" s="14">
        <f>10+N20*5</f>
        <v>10</v>
      </c>
      <c r="M20" s="14">
        <v>600</v>
      </c>
      <c r="N20" s="15">
        <v>0</v>
      </c>
      <c r="O20" s="14">
        <v>0</v>
      </c>
      <c r="P20" s="14">
        <f t="shared" si="1"/>
        <v>70</v>
      </c>
      <c r="Q20" s="14">
        <f>100+N20*10</f>
        <v>100</v>
      </c>
      <c r="R20" s="14">
        <v>1</v>
      </c>
      <c r="S20" s="14">
        <v>0</v>
      </c>
      <c r="T20" s="14">
        <f t="shared" si="7"/>
        <v>38.5</v>
      </c>
      <c r="U20" s="10">
        <f t="shared" si="2"/>
        <v>103</v>
      </c>
    </row>
    <row r="21" ht="15" spans="1:21">
      <c r="A21" s="10" t="s">
        <v>77</v>
      </c>
      <c r="B21" s="11">
        <f t="shared" si="3"/>
        <v>40</v>
      </c>
      <c r="C21" s="11">
        <f t="shared" si="4"/>
        <v>0</v>
      </c>
      <c r="D21" s="11">
        <v>200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5"/>
        <v>40</v>
      </c>
      <c r="K21" s="14">
        <f>40+N21*5</f>
        <v>40</v>
      </c>
      <c r="L21" s="14">
        <f>0+N21*5</f>
        <v>0</v>
      </c>
      <c r="M21" s="14">
        <v>600</v>
      </c>
      <c r="N21" s="14">
        <v>0</v>
      </c>
      <c r="O21" s="14">
        <v>0</v>
      </c>
      <c r="P21" s="14">
        <f t="shared" si="1"/>
        <v>60</v>
      </c>
      <c r="Q21" s="14">
        <v>100</v>
      </c>
      <c r="R21" s="14">
        <v>1</v>
      </c>
      <c r="S21" s="14">
        <v>0</v>
      </c>
      <c r="T21" s="14">
        <f t="shared" si="7"/>
        <v>24</v>
      </c>
      <c r="U21" s="10">
        <f t="shared" si="2"/>
        <v>192</v>
      </c>
    </row>
    <row r="22" ht="15" spans="1:21">
      <c r="A22" s="10" t="s">
        <v>78</v>
      </c>
      <c r="B22" s="11">
        <f t="shared" si="3"/>
        <v>40</v>
      </c>
      <c r="C22" s="11">
        <f t="shared" si="4"/>
        <v>0</v>
      </c>
      <c r="D22" s="11">
        <v>200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5"/>
        <v>35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1"/>
        <v>65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2"/>
        <v>280</v>
      </c>
    </row>
    <row r="23" ht="15" spans="1:21">
      <c r="A23" s="10" t="s">
        <v>79</v>
      </c>
      <c r="B23" s="11">
        <f t="shared" si="3"/>
        <v>40</v>
      </c>
      <c r="C23" s="11">
        <f t="shared" si="4"/>
        <v>0</v>
      </c>
      <c r="D23" s="11">
        <v>200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5"/>
        <v>20</v>
      </c>
      <c r="K23" s="14">
        <f>60+N23*10</f>
        <v>60</v>
      </c>
      <c r="L23" s="14">
        <f>20+N23*5</f>
        <v>20</v>
      </c>
      <c r="M23" s="14">
        <v>800</v>
      </c>
      <c r="N23" s="14">
        <v>0</v>
      </c>
      <c r="O23" s="14">
        <v>0</v>
      </c>
      <c r="P23" s="14">
        <f t="shared" si="1"/>
        <v>80</v>
      </c>
      <c r="Q23" s="14">
        <v>100</v>
      </c>
      <c r="R23" s="14">
        <v>1</v>
      </c>
      <c r="S23" s="14">
        <v>0</v>
      </c>
      <c r="T23" s="14">
        <f t="shared" si="7"/>
        <v>48</v>
      </c>
      <c r="U23" s="10">
        <f t="shared" si="2"/>
        <v>64</v>
      </c>
    </row>
    <row r="24" ht="15" spans="1:21">
      <c r="A24" s="10" t="s">
        <v>80</v>
      </c>
      <c r="B24" s="11">
        <f t="shared" si="3"/>
        <v>40</v>
      </c>
      <c r="C24" s="11">
        <f t="shared" si="4"/>
        <v>0</v>
      </c>
      <c r="D24" s="11">
        <v>200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5"/>
        <v>15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1"/>
        <v>85</v>
      </c>
      <c r="Q24" s="14">
        <v>100</v>
      </c>
      <c r="R24" s="14">
        <v>1</v>
      </c>
      <c r="S24" s="14">
        <v>0</v>
      </c>
      <c r="T24" s="14">
        <f>(K24-C24-F24)*(P24/Q24)*1.5</f>
        <v>89.25</v>
      </c>
      <c r="U24" s="10">
        <f t="shared" si="2"/>
        <v>-28.5</v>
      </c>
    </row>
    <row r="25" ht="15" spans="1:21">
      <c r="A25" s="10" t="s">
        <v>81</v>
      </c>
      <c r="B25" s="11">
        <f t="shared" si="3"/>
        <v>40</v>
      </c>
      <c r="C25" s="11">
        <f t="shared" si="4"/>
        <v>0</v>
      </c>
      <c r="D25" s="11">
        <v>200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5"/>
        <v>20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1"/>
        <v>80</v>
      </c>
      <c r="Q25" s="14">
        <v>100</v>
      </c>
      <c r="R25" s="14">
        <v>1</v>
      </c>
      <c r="S25" s="14">
        <v>0</v>
      </c>
      <c r="T25" s="14">
        <f t="shared" si="7"/>
        <v>48</v>
      </c>
      <c r="U25" s="10">
        <f t="shared" si="2"/>
        <v>24</v>
      </c>
    </row>
    <row r="26" ht="15" spans="1:21">
      <c r="A26" s="10" t="s">
        <v>82</v>
      </c>
      <c r="B26" s="11">
        <f t="shared" si="3"/>
        <v>40</v>
      </c>
      <c r="C26" s="11">
        <f t="shared" si="4"/>
        <v>0</v>
      </c>
      <c r="D26" s="11">
        <v>200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5"/>
        <v>35</v>
      </c>
      <c r="K26" s="14">
        <f>40+N26*10</f>
        <v>40</v>
      </c>
      <c r="L26" s="14">
        <f t="shared" ref="L26:L31" si="10">5+N26*5</f>
        <v>5</v>
      </c>
      <c r="M26" s="14">
        <v>150</v>
      </c>
      <c r="N26" s="15">
        <v>0</v>
      </c>
      <c r="O26" s="14">
        <v>0</v>
      </c>
      <c r="P26" s="14">
        <f t="shared" si="1"/>
        <v>65</v>
      </c>
      <c r="Q26" s="14">
        <v>100</v>
      </c>
      <c r="R26" s="14">
        <v>1</v>
      </c>
      <c r="S26" s="14">
        <v>0</v>
      </c>
      <c r="T26" s="14">
        <f t="shared" si="7"/>
        <v>26</v>
      </c>
      <c r="U26" s="10">
        <f t="shared" si="2"/>
        <v>0.5</v>
      </c>
    </row>
    <row r="28" ht="15" spans="1:21">
      <c r="A28" s="10" t="s">
        <v>7</v>
      </c>
      <c r="B28" s="8" t="s">
        <v>8</v>
      </c>
      <c r="C28" s="8"/>
      <c r="D28" s="8"/>
      <c r="E28" s="8"/>
      <c r="F28" s="8"/>
      <c r="G28" s="8"/>
      <c r="H28" s="8"/>
      <c r="I28" s="8"/>
      <c r="J28" s="8"/>
      <c r="K28" s="14" t="s">
        <v>9</v>
      </c>
      <c r="L28" s="14"/>
      <c r="M28" s="14"/>
      <c r="N28" s="14"/>
      <c r="O28" s="14"/>
      <c r="P28" s="14"/>
      <c r="Q28" s="14"/>
      <c r="R28" s="14"/>
      <c r="S28" s="14"/>
      <c r="T28" s="18"/>
      <c r="U28" s="10" t="s">
        <v>10</v>
      </c>
    </row>
    <row r="29" ht="15" spans="1:21">
      <c r="A29" s="10" t="s">
        <v>83</v>
      </c>
      <c r="B29" s="8" t="s">
        <v>11</v>
      </c>
      <c r="C29" s="8" t="s">
        <v>12</v>
      </c>
      <c r="D29" s="8" t="s">
        <v>13</v>
      </c>
      <c r="E29" s="8" t="s">
        <v>14</v>
      </c>
      <c r="F29" s="8" t="s">
        <v>15</v>
      </c>
      <c r="G29" s="8" t="s">
        <v>16</v>
      </c>
      <c r="H29" s="8" t="s">
        <v>17</v>
      </c>
      <c r="I29" s="8" t="s">
        <v>18</v>
      </c>
      <c r="J29" s="8" t="s">
        <v>19</v>
      </c>
      <c r="K29" s="14" t="s">
        <v>11</v>
      </c>
      <c r="L29" s="14" t="s">
        <v>12</v>
      </c>
      <c r="M29" s="14" t="s">
        <v>13</v>
      </c>
      <c r="N29" s="14" t="s">
        <v>14</v>
      </c>
      <c r="O29" s="14" t="s">
        <v>15</v>
      </c>
      <c r="P29" s="14" t="s">
        <v>16</v>
      </c>
      <c r="Q29" s="14" t="s">
        <v>17</v>
      </c>
      <c r="R29" s="14" t="s">
        <v>20</v>
      </c>
      <c r="S29" s="14" t="s">
        <v>18</v>
      </c>
      <c r="T29" s="18" t="s">
        <v>21</v>
      </c>
      <c r="U29" s="10"/>
    </row>
    <row r="30" ht="15" spans="1:21">
      <c r="A30" s="10" t="s">
        <v>63</v>
      </c>
      <c r="B30" s="11">
        <f t="shared" ref="B30:B49" si="11">40+E30*10</f>
        <v>40</v>
      </c>
      <c r="C30" s="11">
        <f t="shared" ref="C30:C49" si="12">0+E30*5</f>
        <v>0</v>
      </c>
      <c r="D30" s="11">
        <v>200</v>
      </c>
      <c r="E30" s="11">
        <v>0</v>
      </c>
      <c r="F30" s="8">
        <v>0</v>
      </c>
      <c r="G30" s="8">
        <v>100</v>
      </c>
      <c r="H30" s="8">
        <v>100</v>
      </c>
      <c r="I30" s="8">
        <v>0</v>
      </c>
      <c r="J30" s="8">
        <f>(B30-L30-O30)*(G30/H30)</f>
        <v>35</v>
      </c>
      <c r="K30" s="15">
        <f>55+N30*10</f>
        <v>55</v>
      </c>
      <c r="L30" s="15">
        <f t="shared" si="10"/>
        <v>5</v>
      </c>
      <c r="M30" s="15">
        <v>150</v>
      </c>
      <c r="N30" s="15">
        <v>0</v>
      </c>
      <c r="O30" s="14">
        <v>0</v>
      </c>
      <c r="P30" s="14">
        <f t="shared" ref="P30:P49" si="13">Q30-J30</f>
        <v>65</v>
      </c>
      <c r="Q30" s="14">
        <v>100</v>
      </c>
      <c r="R30" s="14">
        <v>1</v>
      </c>
      <c r="S30" s="14">
        <v>0</v>
      </c>
      <c r="T30" s="14">
        <v>0</v>
      </c>
      <c r="U30" s="10">
        <f t="shared" ref="U30:U49" si="14">(M30*(N30/3+1)*(J30*R30+S30)-(D30*(E30/3+1))*(T30+I30))/100</f>
        <v>52.5</v>
      </c>
    </row>
    <row r="31" ht="15" spans="1:21">
      <c r="A31" s="10" t="s">
        <v>64</v>
      </c>
      <c r="B31" s="11">
        <f t="shared" si="11"/>
        <v>40</v>
      </c>
      <c r="C31" s="11">
        <f t="shared" si="12"/>
        <v>0</v>
      </c>
      <c r="D31" s="11">
        <v>200</v>
      </c>
      <c r="E31" s="11">
        <v>0</v>
      </c>
      <c r="F31" s="8">
        <v>0</v>
      </c>
      <c r="G31" s="8">
        <v>100</v>
      </c>
      <c r="H31" s="8">
        <v>100</v>
      </c>
      <c r="I31" s="8">
        <v>0</v>
      </c>
      <c r="J31" s="8">
        <f t="shared" ref="J31:J49" si="15">(B31-L31-O31)*(G31/H31)</f>
        <v>35</v>
      </c>
      <c r="K31" s="15">
        <f t="shared" ref="K31:K36" si="16">50+N31*10</f>
        <v>50</v>
      </c>
      <c r="L31" s="15">
        <f t="shared" si="10"/>
        <v>5</v>
      </c>
      <c r="M31" s="14">
        <v>200</v>
      </c>
      <c r="N31" s="15">
        <v>0</v>
      </c>
      <c r="O31" s="14">
        <v>0</v>
      </c>
      <c r="P31" s="14">
        <f t="shared" si="13"/>
        <v>65</v>
      </c>
      <c r="Q31" s="14">
        <v>100</v>
      </c>
      <c r="R31" s="14">
        <v>1</v>
      </c>
      <c r="S31" s="14">
        <v>0</v>
      </c>
      <c r="T31" s="14">
        <v>0</v>
      </c>
      <c r="U31" s="10">
        <f t="shared" si="14"/>
        <v>70</v>
      </c>
    </row>
    <row r="32" ht="15" spans="1:21">
      <c r="A32" s="10" t="s">
        <v>65</v>
      </c>
      <c r="B32" s="11">
        <f t="shared" si="11"/>
        <v>40</v>
      </c>
      <c r="C32" s="11">
        <f t="shared" si="12"/>
        <v>0</v>
      </c>
      <c r="D32" s="11">
        <v>200</v>
      </c>
      <c r="E32" s="11">
        <v>0</v>
      </c>
      <c r="F32" s="8">
        <v>0</v>
      </c>
      <c r="G32" s="8">
        <v>100</v>
      </c>
      <c r="H32" s="8">
        <v>100</v>
      </c>
      <c r="I32" s="8">
        <v>0</v>
      </c>
      <c r="J32" s="8">
        <f t="shared" si="15"/>
        <v>40</v>
      </c>
      <c r="K32" s="15">
        <f>40+N32*10</f>
        <v>40</v>
      </c>
      <c r="L32" s="15">
        <f t="shared" ref="L32:L37" si="17">0+N32*5</f>
        <v>0</v>
      </c>
      <c r="M32" s="14">
        <v>200</v>
      </c>
      <c r="N32" s="15">
        <v>0</v>
      </c>
      <c r="O32" s="14">
        <v>0</v>
      </c>
      <c r="P32" s="14">
        <f t="shared" si="13"/>
        <v>60</v>
      </c>
      <c r="Q32" s="14">
        <v>100</v>
      </c>
      <c r="R32" s="14">
        <v>1</v>
      </c>
      <c r="S32" s="14">
        <v>0</v>
      </c>
      <c r="T32" s="14">
        <v>0</v>
      </c>
      <c r="U32" s="10">
        <f t="shared" si="14"/>
        <v>80</v>
      </c>
    </row>
    <row r="33" ht="15" spans="1:21">
      <c r="A33" s="10" t="s">
        <v>66</v>
      </c>
      <c r="B33" s="11">
        <f t="shared" si="11"/>
        <v>40</v>
      </c>
      <c r="C33" s="11">
        <f t="shared" si="12"/>
        <v>0</v>
      </c>
      <c r="D33" s="11">
        <v>200</v>
      </c>
      <c r="E33" s="11">
        <v>0</v>
      </c>
      <c r="F33" s="8">
        <v>0</v>
      </c>
      <c r="G33" s="8">
        <v>100</v>
      </c>
      <c r="H33" s="8">
        <v>100</v>
      </c>
      <c r="I33" s="8">
        <v>0</v>
      </c>
      <c r="J33" s="8">
        <f t="shared" si="15"/>
        <v>35</v>
      </c>
      <c r="K33" s="15">
        <f>45+N33*10</f>
        <v>45</v>
      </c>
      <c r="L33" s="15">
        <f>5+N33*5</f>
        <v>5</v>
      </c>
      <c r="M33" s="14">
        <v>250</v>
      </c>
      <c r="N33" s="15">
        <v>0</v>
      </c>
      <c r="O33" s="14">
        <v>0</v>
      </c>
      <c r="P33" s="14">
        <f t="shared" si="13"/>
        <v>65</v>
      </c>
      <c r="Q33" s="14">
        <v>100</v>
      </c>
      <c r="R33" s="14">
        <v>1</v>
      </c>
      <c r="S33" s="14">
        <v>0</v>
      </c>
      <c r="T33" s="14">
        <v>0</v>
      </c>
      <c r="U33" s="10">
        <f t="shared" si="14"/>
        <v>87.5</v>
      </c>
    </row>
    <row r="34" ht="15" spans="1:21">
      <c r="A34" s="10" t="s">
        <v>67</v>
      </c>
      <c r="B34" s="11">
        <f t="shared" si="11"/>
        <v>40</v>
      </c>
      <c r="C34" s="11">
        <f t="shared" si="12"/>
        <v>0</v>
      </c>
      <c r="D34" s="11">
        <v>200</v>
      </c>
      <c r="E34" s="11">
        <v>0</v>
      </c>
      <c r="F34" s="8">
        <v>0</v>
      </c>
      <c r="G34" s="8">
        <v>100</v>
      </c>
      <c r="H34" s="8">
        <v>100</v>
      </c>
      <c r="I34" s="8">
        <v>0</v>
      </c>
      <c r="J34" s="8">
        <f t="shared" si="15"/>
        <v>0</v>
      </c>
      <c r="K34" s="15">
        <f t="shared" si="16"/>
        <v>50</v>
      </c>
      <c r="L34" s="15">
        <f>40+N34*5</f>
        <v>40</v>
      </c>
      <c r="M34" s="14">
        <v>250</v>
      </c>
      <c r="N34" s="15">
        <v>0</v>
      </c>
      <c r="O34" s="14">
        <v>0</v>
      </c>
      <c r="P34" s="14">
        <f t="shared" si="13"/>
        <v>100</v>
      </c>
      <c r="Q34" s="14">
        <f>100+N34*5</f>
        <v>100</v>
      </c>
      <c r="R34" s="14">
        <v>1</v>
      </c>
      <c r="S34" s="14">
        <v>0</v>
      </c>
      <c r="T34" s="14">
        <v>0</v>
      </c>
      <c r="U34" s="10">
        <f t="shared" si="14"/>
        <v>0</v>
      </c>
    </row>
    <row r="35" ht="15" spans="1:21">
      <c r="A35" s="10" t="s">
        <v>68</v>
      </c>
      <c r="B35" s="11">
        <f t="shared" si="11"/>
        <v>40</v>
      </c>
      <c r="C35" s="11">
        <f t="shared" si="12"/>
        <v>0</v>
      </c>
      <c r="D35" s="11">
        <v>200</v>
      </c>
      <c r="E35" s="11">
        <v>0</v>
      </c>
      <c r="F35" s="8">
        <v>0</v>
      </c>
      <c r="G35" s="8">
        <v>100</v>
      </c>
      <c r="H35" s="8">
        <v>100</v>
      </c>
      <c r="I35" s="8">
        <v>0</v>
      </c>
      <c r="J35" s="8">
        <f t="shared" si="15"/>
        <v>25</v>
      </c>
      <c r="K35" s="15">
        <f>60+N35*10</f>
        <v>60</v>
      </c>
      <c r="L35" s="15">
        <f>15+N35*5</f>
        <v>15</v>
      </c>
      <c r="M35" s="14">
        <v>300</v>
      </c>
      <c r="N35" s="15">
        <v>0</v>
      </c>
      <c r="O35" s="14">
        <v>0</v>
      </c>
      <c r="P35" s="14">
        <f t="shared" si="13"/>
        <v>75</v>
      </c>
      <c r="Q35" s="14">
        <v>100</v>
      </c>
      <c r="R35" s="14">
        <v>1</v>
      </c>
      <c r="S35" s="14">
        <v>0</v>
      </c>
      <c r="T35" s="14">
        <v>0</v>
      </c>
      <c r="U35" s="10">
        <f t="shared" si="14"/>
        <v>75</v>
      </c>
    </row>
    <row r="36" ht="15" spans="1:21">
      <c r="A36" s="10" t="s">
        <v>69</v>
      </c>
      <c r="B36" s="11">
        <f t="shared" si="11"/>
        <v>40</v>
      </c>
      <c r="C36" s="11">
        <f t="shared" si="12"/>
        <v>0</v>
      </c>
      <c r="D36" s="11">
        <v>200</v>
      </c>
      <c r="E36" s="11">
        <v>0</v>
      </c>
      <c r="F36" s="8">
        <v>0</v>
      </c>
      <c r="G36" s="8">
        <v>100</v>
      </c>
      <c r="H36" s="8">
        <v>100</v>
      </c>
      <c r="I36" s="8">
        <v>0</v>
      </c>
      <c r="J36" s="8">
        <f t="shared" si="15"/>
        <v>40</v>
      </c>
      <c r="K36" s="15">
        <f t="shared" si="16"/>
        <v>50</v>
      </c>
      <c r="L36" s="15">
        <f t="shared" si="17"/>
        <v>0</v>
      </c>
      <c r="M36" s="14">
        <v>300</v>
      </c>
      <c r="N36" s="15">
        <v>0</v>
      </c>
      <c r="O36" s="14">
        <v>0</v>
      </c>
      <c r="P36" s="14">
        <f t="shared" si="13"/>
        <v>60</v>
      </c>
      <c r="Q36" s="14">
        <v>100</v>
      </c>
      <c r="R36" s="14">
        <v>1</v>
      </c>
      <c r="S36" s="14">
        <v>0</v>
      </c>
      <c r="T36" s="14">
        <v>0</v>
      </c>
      <c r="U36" s="10">
        <f t="shared" si="14"/>
        <v>120</v>
      </c>
    </row>
    <row r="37" ht="15" spans="1:21">
      <c r="A37" s="10" t="s">
        <v>70</v>
      </c>
      <c r="B37" s="11">
        <f t="shared" si="11"/>
        <v>40</v>
      </c>
      <c r="C37" s="11">
        <f t="shared" si="12"/>
        <v>0</v>
      </c>
      <c r="D37" s="11">
        <v>200</v>
      </c>
      <c r="E37" s="11">
        <v>0</v>
      </c>
      <c r="F37" s="8">
        <v>0</v>
      </c>
      <c r="G37" s="8">
        <v>100</v>
      </c>
      <c r="H37" s="8">
        <v>100</v>
      </c>
      <c r="I37" s="8">
        <v>0</v>
      </c>
      <c r="J37" s="8">
        <f t="shared" si="15"/>
        <v>40</v>
      </c>
      <c r="K37" s="15">
        <f>45+N37*5</f>
        <v>45</v>
      </c>
      <c r="L37" s="15">
        <f t="shared" si="17"/>
        <v>0</v>
      </c>
      <c r="M37" s="14">
        <v>400</v>
      </c>
      <c r="N37" s="15">
        <v>0</v>
      </c>
      <c r="O37" s="14">
        <v>0</v>
      </c>
      <c r="P37" s="14">
        <f t="shared" si="13"/>
        <v>60</v>
      </c>
      <c r="Q37" s="14">
        <v>100</v>
      </c>
      <c r="R37" s="14">
        <v>1</v>
      </c>
      <c r="S37" s="14">
        <v>0</v>
      </c>
      <c r="T37" s="14">
        <v>0</v>
      </c>
      <c r="U37" s="10">
        <f t="shared" si="14"/>
        <v>160</v>
      </c>
    </row>
    <row r="38" ht="15" spans="1:21">
      <c r="A38" s="10" t="s">
        <v>71</v>
      </c>
      <c r="B38" s="11">
        <f t="shared" si="11"/>
        <v>40</v>
      </c>
      <c r="C38" s="11">
        <f t="shared" si="12"/>
        <v>0</v>
      </c>
      <c r="D38" s="11">
        <v>200</v>
      </c>
      <c r="E38" s="11">
        <v>0</v>
      </c>
      <c r="F38" s="8">
        <v>0</v>
      </c>
      <c r="G38" s="8">
        <v>100</v>
      </c>
      <c r="H38" s="8">
        <v>100</v>
      </c>
      <c r="I38" s="8">
        <v>0</v>
      </c>
      <c r="J38" s="8">
        <f t="shared" si="15"/>
        <v>30</v>
      </c>
      <c r="K38" s="15">
        <f>50+N38*5</f>
        <v>50</v>
      </c>
      <c r="L38" s="15">
        <f>10+N38*5</f>
        <v>10</v>
      </c>
      <c r="M38" s="14">
        <v>400</v>
      </c>
      <c r="N38" s="15">
        <v>0</v>
      </c>
      <c r="O38" s="14">
        <v>0</v>
      </c>
      <c r="P38" s="14">
        <f t="shared" si="13"/>
        <v>70</v>
      </c>
      <c r="Q38" s="14">
        <v>100</v>
      </c>
      <c r="R38" s="14">
        <v>1</v>
      </c>
      <c r="S38" s="14">
        <v>0</v>
      </c>
      <c r="T38" s="14">
        <v>0</v>
      </c>
      <c r="U38" s="10">
        <f t="shared" si="14"/>
        <v>120</v>
      </c>
    </row>
    <row r="39" ht="15" spans="1:21">
      <c r="A39" s="10" t="s">
        <v>72</v>
      </c>
      <c r="B39" s="11">
        <f t="shared" si="11"/>
        <v>40</v>
      </c>
      <c r="C39" s="11">
        <f t="shared" si="12"/>
        <v>0</v>
      </c>
      <c r="D39" s="11">
        <v>200</v>
      </c>
      <c r="E39" s="11">
        <v>0</v>
      </c>
      <c r="F39" s="8">
        <v>0</v>
      </c>
      <c r="G39" s="8">
        <v>100</v>
      </c>
      <c r="H39" s="8">
        <v>100</v>
      </c>
      <c r="I39" s="8">
        <v>0</v>
      </c>
      <c r="J39" s="8">
        <f t="shared" si="15"/>
        <v>20</v>
      </c>
      <c r="K39" s="15">
        <f>55+N39*5</f>
        <v>55</v>
      </c>
      <c r="L39" s="15">
        <f t="shared" ref="L39:L41" si="18">20+N39*5</f>
        <v>20</v>
      </c>
      <c r="M39" s="14">
        <v>500</v>
      </c>
      <c r="N39" s="15">
        <v>0</v>
      </c>
      <c r="O39" s="14">
        <v>0</v>
      </c>
      <c r="P39" s="14">
        <f t="shared" si="13"/>
        <v>80</v>
      </c>
      <c r="Q39" s="14">
        <v>100</v>
      </c>
      <c r="R39" s="14">
        <v>1</v>
      </c>
      <c r="S39" s="14">
        <v>0</v>
      </c>
      <c r="T39" s="14">
        <v>0</v>
      </c>
      <c r="U39" s="10">
        <f t="shared" si="14"/>
        <v>100</v>
      </c>
    </row>
    <row r="40" ht="15" spans="1:21">
      <c r="A40" s="10" t="s">
        <v>73</v>
      </c>
      <c r="B40" s="11">
        <f t="shared" si="11"/>
        <v>40</v>
      </c>
      <c r="C40" s="11">
        <f t="shared" si="12"/>
        <v>0</v>
      </c>
      <c r="D40" s="11">
        <v>200</v>
      </c>
      <c r="E40" s="11">
        <v>0</v>
      </c>
      <c r="F40" s="8">
        <v>0</v>
      </c>
      <c r="G40" s="8">
        <v>100</v>
      </c>
      <c r="H40" s="8">
        <v>100</v>
      </c>
      <c r="I40" s="8">
        <v>0</v>
      </c>
      <c r="J40" s="8">
        <f t="shared" si="15"/>
        <v>20</v>
      </c>
      <c r="K40" s="14">
        <f>70+N40*10</f>
        <v>70</v>
      </c>
      <c r="L40" s="14">
        <f t="shared" si="18"/>
        <v>20</v>
      </c>
      <c r="M40" s="14">
        <v>500</v>
      </c>
      <c r="N40" s="14">
        <v>0</v>
      </c>
      <c r="O40" s="14">
        <v>0</v>
      </c>
      <c r="P40" s="14">
        <f t="shared" si="13"/>
        <v>80</v>
      </c>
      <c r="Q40" s="14">
        <v>100</v>
      </c>
      <c r="R40" s="14">
        <v>1</v>
      </c>
      <c r="S40" s="14">
        <v>0</v>
      </c>
      <c r="T40" s="14">
        <f>(K40-C40-F40)*1</f>
        <v>70</v>
      </c>
      <c r="U40" s="10">
        <f t="shared" si="14"/>
        <v>-40</v>
      </c>
    </row>
    <row r="41" ht="15" spans="1:21">
      <c r="A41" s="10" t="s">
        <v>74</v>
      </c>
      <c r="B41" s="11">
        <f t="shared" si="11"/>
        <v>40</v>
      </c>
      <c r="C41" s="11">
        <f t="shared" si="12"/>
        <v>0</v>
      </c>
      <c r="D41" s="11">
        <v>200</v>
      </c>
      <c r="E41" s="11">
        <v>0</v>
      </c>
      <c r="F41" s="8">
        <v>0</v>
      </c>
      <c r="G41" s="8">
        <v>100</v>
      </c>
      <c r="H41" s="8">
        <v>100</v>
      </c>
      <c r="I41" s="8">
        <v>0</v>
      </c>
      <c r="J41" s="8">
        <f t="shared" si="15"/>
        <v>20</v>
      </c>
      <c r="K41" s="14">
        <f>75+N41*10</f>
        <v>75</v>
      </c>
      <c r="L41" s="14">
        <f t="shared" si="18"/>
        <v>20</v>
      </c>
      <c r="M41" s="14">
        <v>600</v>
      </c>
      <c r="N41" s="15">
        <v>0</v>
      </c>
      <c r="O41" s="14">
        <v>0</v>
      </c>
      <c r="P41" s="14">
        <f t="shared" si="13"/>
        <v>80</v>
      </c>
      <c r="Q41" s="14">
        <v>100</v>
      </c>
      <c r="R41" s="14">
        <v>1</v>
      </c>
      <c r="S41" s="14">
        <v>0</v>
      </c>
      <c r="T41" s="14">
        <v>0</v>
      </c>
      <c r="U41" s="10">
        <f t="shared" si="14"/>
        <v>120</v>
      </c>
    </row>
    <row r="42" ht="15" spans="1:21">
      <c r="A42" s="10" t="s">
        <v>75</v>
      </c>
      <c r="B42" s="11">
        <f t="shared" si="11"/>
        <v>40</v>
      </c>
      <c r="C42" s="11">
        <f t="shared" si="12"/>
        <v>0</v>
      </c>
      <c r="D42" s="11">
        <v>200</v>
      </c>
      <c r="E42" s="11">
        <v>0</v>
      </c>
      <c r="F42" s="8">
        <v>0</v>
      </c>
      <c r="G42" s="8">
        <v>100</v>
      </c>
      <c r="H42" s="8">
        <v>100</v>
      </c>
      <c r="I42" s="8">
        <v>0</v>
      </c>
      <c r="J42" s="8">
        <f>(B42-L42-O42)*(G42/H42)*50%</f>
        <v>5</v>
      </c>
      <c r="K42" s="14">
        <f>55+N42*5</f>
        <v>55</v>
      </c>
      <c r="L42" s="14">
        <f>30+N42*5</f>
        <v>30</v>
      </c>
      <c r="M42" s="14">
        <v>600</v>
      </c>
      <c r="N42" s="14">
        <v>0</v>
      </c>
      <c r="O42" s="14">
        <v>0</v>
      </c>
      <c r="P42" s="14">
        <f t="shared" si="13"/>
        <v>95</v>
      </c>
      <c r="Q42" s="14">
        <f>100+N42*25</f>
        <v>100</v>
      </c>
      <c r="R42" s="14">
        <v>1</v>
      </c>
      <c r="S42" s="14">
        <v>0</v>
      </c>
      <c r="T42" s="14">
        <v>0</v>
      </c>
      <c r="U42" s="10">
        <f t="shared" si="14"/>
        <v>30</v>
      </c>
    </row>
    <row r="43" ht="15" spans="1:21">
      <c r="A43" s="10" t="s">
        <v>76</v>
      </c>
      <c r="B43" s="11">
        <f t="shared" si="11"/>
        <v>40</v>
      </c>
      <c r="C43" s="11">
        <f t="shared" si="12"/>
        <v>0</v>
      </c>
      <c r="D43" s="11">
        <v>200</v>
      </c>
      <c r="E43" s="11">
        <v>0</v>
      </c>
      <c r="F43" s="8">
        <v>0</v>
      </c>
      <c r="G43" s="8">
        <v>100</v>
      </c>
      <c r="H43" s="8">
        <v>100</v>
      </c>
      <c r="I43" s="8">
        <v>0</v>
      </c>
      <c r="J43" s="8">
        <f t="shared" si="15"/>
        <v>30</v>
      </c>
      <c r="K43" s="14">
        <f>55+N43*10</f>
        <v>55</v>
      </c>
      <c r="L43" s="14">
        <f>10+N43*5</f>
        <v>10</v>
      </c>
      <c r="M43" s="14">
        <v>600</v>
      </c>
      <c r="N43" s="15">
        <v>0</v>
      </c>
      <c r="O43" s="14">
        <v>0</v>
      </c>
      <c r="P43" s="14">
        <f t="shared" si="13"/>
        <v>70</v>
      </c>
      <c r="Q43" s="14">
        <f>100+N43*10</f>
        <v>100</v>
      </c>
      <c r="R43" s="14">
        <v>1</v>
      </c>
      <c r="S43" s="14">
        <v>0</v>
      </c>
      <c r="T43" s="14">
        <v>0</v>
      </c>
      <c r="U43" s="10">
        <f t="shared" si="14"/>
        <v>180</v>
      </c>
    </row>
    <row r="44" ht="15" spans="1:21">
      <c r="A44" s="10" t="s">
        <v>77</v>
      </c>
      <c r="B44" s="11">
        <f t="shared" si="11"/>
        <v>40</v>
      </c>
      <c r="C44" s="11">
        <f t="shared" si="12"/>
        <v>0</v>
      </c>
      <c r="D44" s="11">
        <v>200</v>
      </c>
      <c r="E44" s="11">
        <v>0</v>
      </c>
      <c r="F44" s="8">
        <v>0</v>
      </c>
      <c r="G44" s="8">
        <v>100</v>
      </c>
      <c r="H44" s="8">
        <v>100</v>
      </c>
      <c r="I44" s="8">
        <v>0</v>
      </c>
      <c r="J44" s="8">
        <f t="shared" si="15"/>
        <v>40</v>
      </c>
      <c r="K44" s="14">
        <f>40+N44*5</f>
        <v>40</v>
      </c>
      <c r="L44" s="14">
        <f>0+N44*5</f>
        <v>0</v>
      </c>
      <c r="M44" s="14">
        <v>600</v>
      </c>
      <c r="N44" s="14">
        <v>0</v>
      </c>
      <c r="O44" s="14">
        <v>0</v>
      </c>
      <c r="P44" s="14">
        <f t="shared" si="13"/>
        <v>60</v>
      </c>
      <c r="Q44" s="14">
        <v>100</v>
      </c>
      <c r="R44" s="14">
        <v>1</v>
      </c>
      <c r="S44" s="14">
        <v>0</v>
      </c>
      <c r="T44" s="14">
        <v>0</v>
      </c>
      <c r="U44" s="10">
        <f t="shared" si="14"/>
        <v>240</v>
      </c>
    </row>
    <row r="45" ht="15" spans="1:21">
      <c r="A45" s="10" t="s">
        <v>78</v>
      </c>
      <c r="B45" s="11">
        <f t="shared" si="11"/>
        <v>40</v>
      </c>
      <c r="C45" s="11">
        <f t="shared" si="12"/>
        <v>0</v>
      </c>
      <c r="D45" s="11">
        <v>200</v>
      </c>
      <c r="E45" s="11">
        <v>0</v>
      </c>
      <c r="F45" s="8">
        <v>0</v>
      </c>
      <c r="G45" s="8">
        <v>100</v>
      </c>
      <c r="H45" s="8">
        <v>100</v>
      </c>
      <c r="I45" s="8">
        <v>0</v>
      </c>
      <c r="J45" s="8">
        <f t="shared" si="15"/>
        <v>35</v>
      </c>
      <c r="K45" s="14">
        <f>60+N45*5</f>
        <v>60</v>
      </c>
      <c r="L45" s="14">
        <f>5+N45*5</f>
        <v>5</v>
      </c>
      <c r="M45" s="14">
        <v>800</v>
      </c>
      <c r="N45" s="15">
        <v>0</v>
      </c>
      <c r="O45" s="14">
        <v>0</v>
      </c>
      <c r="P45" s="14">
        <f t="shared" si="13"/>
        <v>65</v>
      </c>
      <c r="Q45" s="14">
        <v>100</v>
      </c>
      <c r="R45" s="14">
        <v>1</v>
      </c>
      <c r="S45" s="14">
        <v>0</v>
      </c>
      <c r="T45" s="14">
        <v>0</v>
      </c>
      <c r="U45" s="10">
        <f t="shared" si="14"/>
        <v>280</v>
      </c>
    </row>
    <row r="46" ht="15" spans="1:21">
      <c r="A46" s="10" t="s">
        <v>79</v>
      </c>
      <c r="B46" s="11">
        <f t="shared" si="11"/>
        <v>40</v>
      </c>
      <c r="C46" s="11">
        <f t="shared" si="12"/>
        <v>0</v>
      </c>
      <c r="D46" s="11">
        <v>200</v>
      </c>
      <c r="E46" s="11">
        <v>0</v>
      </c>
      <c r="F46" s="8">
        <v>0</v>
      </c>
      <c r="G46" s="8">
        <v>100</v>
      </c>
      <c r="H46" s="8">
        <v>100</v>
      </c>
      <c r="I46" s="8">
        <v>0</v>
      </c>
      <c r="J46" s="8">
        <f t="shared" si="15"/>
        <v>20</v>
      </c>
      <c r="K46" s="14">
        <f>60+N46*10</f>
        <v>60</v>
      </c>
      <c r="L46" s="14">
        <f>20+N46*5</f>
        <v>20</v>
      </c>
      <c r="M46" s="14">
        <v>800</v>
      </c>
      <c r="N46" s="14">
        <v>0</v>
      </c>
      <c r="O46" s="14">
        <v>0</v>
      </c>
      <c r="P46" s="14">
        <f t="shared" si="13"/>
        <v>80</v>
      </c>
      <c r="Q46" s="14">
        <v>100</v>
      </c>
      <c r="R46" s="14">
        <v>1</v>
      </c>
      <c r="S46" s="14">
        <v>0</v>
      </c>
      <c r="T46" s="14">
        <v>0</v>
      </c>
      <c r="U46" s="10">
        <f t="shared" si="14"/>
        <v>160</v>
      </c>
    </row>
    <row r="47" ht="15" spans="1:21">
      <c r="A47" s="10" t="s">
        <v>80</v>
      </c>
      <c r="B47" s="11">
        <f t="shared" si="11"/>
        <v>40</v>
      </c>
      <c r="C47" s="11">
        <f t="shared" si="12"/>
        <v>0</v>
      </c>
      <c r="D47" s="11">
        <v>200</v>
      </c>
      <c r="E47" s="11">
        <v>0</v>
      </c>
      <c r="F47" s="8">
        <v>0</v>
      </c>
      <c r="G47" s="8">
        <v>100</v>
      </c>
      <c r="H47" s="8">
        <v>100</v>
      </c>
      <c r="I47" s="8">
        <v>0</v>
      </c>
      <c r="J47" s="8">
        <f>(B47-L47-O47)*(G47/H47)*50%</f>
        <v>7.5</v>
      </c>
      <c r="K47" s="14">
        <f>70+N47*10</f>
        <v>70</v>
      </c>
      <c r="L47" s="14">
        <f>25+N47*5</f>
        <v>25</v>
      </c>
      <c r="M47" s="14">
        <v>1000</v>
      </c>
      <c r="N47" s="15">
        <v>0</v>
      </c>
      <c r="O47" s="14">
        <v>0</v>
      </c>
      <c r="P47" s="14">
        <f t="shared" si="13"/>
        <v>92.5</v>
      </c>
      <c r="Q47" s="14">
        <v>100</v>
      </c>
      <c r="R47" s="14">
        <v>1</v>
      </c>
      <c r="S47" s="14">
        <v>0</v>
      </c>
      <c r="T47" s="14">
        <v>0</v>
      </c>
      <c r="U47" s="10">
        <f t="shared" si="14"/>
        <v>75</v>
      </c>
    </row>
    <row r="48" ht="15" spans="1:21">
      <c r="A48" s="10" t="s">
        <v>81</v>
      </c>
      <c r="B48" s="11">
        <f t="shared" si="11"/>
        <v>40</v>
      </c>
      <c r="C48" s="11">
        <f t="shared" si="12"/>
        <v>0</v>
      </c>
      <c r="D48" s="11">
        <v>200</v>
      </c>
      <c r="E48" s="11">
        <v>0</v>
      </c>
      <c r="F48" s="8">
        <v>0</v>
      </c>
      <c r="G48" s="8">
        <v>100</v>
      </c>
      <c r="H48" s="8">
        <v>100</v>
      </c>
      <c r="I48" s="8">
        <v>0</v>
      </c>
      <c r="J48" s="8">
        <f t="shared" si="15"/>
        <v>20</v>
      </c>
      <c r="K48" s="14">
        <f>60+N48*10</f>
        <v>60</v>
      </c>
      <c r="L48" s="14">
        <f>20+N48*5</f>
        <v>20</v>
      </c>
      <c r="M48" s="14">
        <v>600</v>
      </c>
      <c r="N48" s="14">
        <v>0</v>
      </c>
      <c r="O48" s="14">
        <v>0</v>
      </c>
      <c r="P48" s="14">
        <f t="shared" si="13"/>
        <v>80</v>
      </c>
      <c r="Q48" s="14">
        <v>100</v>
      </c>
      <c r="R48" s="14">
        <v>1</v>
      </c>
      <c r="S48" s="14">
        <v>0</v>
      </c>
      <c r="T48" s="14">
        <v>0</v>
      </c>
      <c r="U48" s="10">
        <f t="shared" si="14"/>
        <v>120</v>
      </c>
    </row>
    <row r="49" ht="15" spans="1:21">
      <c r="A49" s="10" t="s">
        <v>82</v>
      </c>
      <c r="B49" s="11">
        <f t="shared" si="11"/>
        <v>40</v>
      </c>
      <c r="C49" s="11">
        <f t="shared" si="12"/>
        <v>0</v>
      </c>
      <c r="D49" s="11">
        <v>200</v>
      </c>
      <c r="E49" s="11">
        <v>0</v>
      </c>
      <c r="F49" s="8">
        <v>0</v>
      </c>
      <c r="G49" s="8">
        <v>100</v>
      </c>
      <c r="H49" s="8">
        <v>100</v>
      </c>
      <c r="I49" s="8">
        <v>0</v>
      </c>
      <c r="J49" s="8">
        <f t="shared" si="15"/>
        <v>35</v>
      </c>
      <c r="K49" s="14">
        <f>40+N49*10</f>
        <v>40</v>
      </c>
      <c r="L49" s="14">
        <f>5+N49*5</f>
        <v>5</v>
      </c>
      <c r="M49" s="14">
        <v>150</v>
      </c>
      <c r="N49" s="15">
        <v>0</v>
      </c>
      <c r="O49" s="14">
        <v>0</v>
      </c>
      <c r="P49" s="14">
        <f t="shared" si="13"/>
        <v>65</v>
      </c>
      <c r="Q49" s="14">
        <v>100</v>
      </c>
      <c r="R49" s="14">
        <v>1</v>
      </c>
      <c r="S49" s="14">
        <v>0</v>
      </c>
      <c r="T49" s="14">
        <v>0</v>
      </c>
      <c r="U49" s="10">
        <f t="shared" si="14"/>
        <v>52.5</v>
      </c>
    </row>
  </sheetData>
  <mergeCells count="16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B28:J28"/>
    <mergeCell ref="K28:T28"/>
    <mergeCell ref="U5:U6"/>
    <mergeCell ref="U28:U2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zoomScale="90" zoomScaleNormal="90" workbookViewId="0">
      <selection activeCell="L7" sqref="L7:L26"/>
    </sheetView>
  </sheetViews>
  <sheetFormatPr defaultColWidth="8.89090909090909" defaultRowHeight="14"/>
  <cols>
    <col min="1" max="1" width="18.1090909090909" customWidth="1"/>
    <col min="2" max="3" width="8.33636363636364" customWidth="1"/>
    <col min="4" max="7" width="6.10909090909091" customWidth="1"/>
    <col min="8" max="8" width="8.33636363636364" customWidth="1"/>
    <col min="9" max="9" width="18.1090909090909" customWidth="1"/>
    <col min="10" max="10" width="10.6636363636364" customWidth="1"/>
    <col min="11" max="12" width="8.33636363636364" customWidth="1"/>
    <col min="13" max="16" width="6.10909090909091" customWidth="1"/>
    <col min="17" max="17" width="8.33636363636364" customWidth="1"/>
    <col min="18" max="18" width="10.6636363636364" customWidth="1"/>
    <col min="19" max="19" width="18.1090909090909" customWidth="1"/>
    <col min="20" max="21" width="10.6636363636364" customWidth="1"/>
  </cols>
  <sheetData>
    <row r="1" ht="15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ht="15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ht="15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S4" s="1"/>
      <c r="T4" s="16" t="s">
        <v>6</v>
      </c>
      <c r="U4" s="17"/>
    </row>
    <row r="5" ht="15" spans="1:21">
      <c r="A5" s="7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ht="15" spans="1:21">
      <c r="A6" s="9"/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ht="15" spans="1:21">
      <c r="A7" s="10" t="s">
        <v>84</v>
      </c>
      <c r="B7" s="11">
        <f>45+E7*10</f>
        <v>45</v>
      </c>
      <c r="C7" s="11">
        <f>0+E7*5</f>
        <v>0</v>
      </c>
      <c r="D7" s="11">
        <v>250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>(B7-L7-O7)*(G7/H7)</f>
        <v>40</v>
      </c>
      <c r="K7" s="15">
        <f>55+N7*10</f>
        <v>55</v>
      </c>
      <c r="L7" s="15">
        <f t="shared" ref="L7:L10" si="0">5+N7*5</f>
        <v>5</v>
      </c>
      <c r="M7" s="15">
        <v>150</v>
      </c>
      <c r="N7" s="15">
        <v>0</v>
      </c>
      <c r="O7" s="14">
        <v>0</v>
      </c>
      <c r="P7" s="14">
        <f t="shared" ref="P7:P26" si="1">Q7-J7</f>
        <v>60</v>
      </c>
      <c r="Q7" s="14">
        <v>100</v>
      </c>
      <c r="R7" s="14">
        <v>1</v>
      </c>
      <c r="S7" s="14">
        <v>0</v>
      </c>
      <c r="T7" s="14">
        <v>0</v>
      </c>
      <c r="U7" s="10">
        <f t="shared" ref="U7:U26" si="2">(M7*(N7/3+1)*(J7*R7+S7)-(D7*(E7/3+1))*(T7+I7))/100</f>
        <v>60</v>
      </c>
    </row>
    <row r="8" ht="15" spans="1:21">
      <c r="A8" s="10" t="s">
        <v>85</v>
      </c>
      <c r="B8" s="11">
        <f t="shared" ref="B8:B26" si="3">45+E8*10</f>
        <v>45</v>
      </c>
      <c r="C8" s="11">
        <f t="shared" ref="C8:C26" si="4">0+E8*5</f>
        <v>0</v>
      </c>
      <c r="D8" s="11">
        <v>250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>(B8+10-L8-O8)*(G8/H8)</f>
        <v>50</v>
      </c>
      <c r="K8" s="15">
        <f t="shared" ref="K8:K13" si="5">50+N8*10</f>
        <v>50</v>
      </c>
      <c r="L8" s="15">
        <f t="shared" si="0"/>
        <v>5</v>
      </c>
      <c r="M8" s="14">
        <v>200</v>
      </c>
      <c r="N8" s="15">
        <v>0</v>
      </c>
      <c r="O8" s="14">
        <v>0</v>
      </c>
      <c r="P8" s="14">
        <f t="shared" si="1"/>
        <v>50</v>
      </c>
      <c r="Q8" s="14">
        <v>100</v>
      </c>
      <c r="R8" s="14">
        <v>1</v>
      </c>
      <c r="S8" s="14">
        <v>0</v>
      </c>
      <c r="T8" s="14">
        <v>0</v>
      </c>
      <c r="U8" s="10">
        <f t="shared" si="2"/>
        <v>100</v>
      </c>
    </row>
    <row r="9" ht="15" spans="1:21">
      <c r="A9" s="10" t="s">
        <v>86</v>
      </c>
      <c r="B9" s="11">
        <f t="shared" si="3"/>
        <v>45</v>
      </c>
      <c r="C9" s="11">
        <f t="shared" si="4"/>
        <v>0</v>
      </c>
      <c r="D9" s="11">
        <v>250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>(B9-L9-O9)*(G9/H9)</f>
        <v>45</v>
      </c>
      <c r="K9" s="15">
        <f>40+N9*10</f>
        <v>40</v>
      </c>
      <c r="L9" s="15">
        <f t="shared" ref="L9:L14" si="6">0+N9*5</f>
        <v>0</v>
      </c>
      <c r="M9" s="14">
        <v>200</v>
      </c>
      <c r="N9" s="15">
        <v>0</v>
      </c>
      <c r="O9" s="14">
        <v>0</v>
      </c>
      <c r="P9" s="14">
        <f t="shared" si="1"/>
        <v>55</v>
      </c>
      <c r="Q9" s="14">
        <v>100</v>
      </c>
      <c r="R9" s="14">
        <v>1</v>
      </c>
      <c r="S9" s="14">
        <v>0</v>
      </c>
      <c r="T9" s="14">
        <v>0</v>
      </c>
      <c r="U9" s="10">
        <f t="shared" si="2"/>
        <v>90</v>
      </c>
    </row>
    <row r="10" ht="15" spans="1:21">
      <c r="A10" s="10" t="s">
        <v>87</v>
      </c>
      <c r="B10" s="11">
        <f t="shared" si="3"/>
        <v>45</v>
      </c>
      <c r="C10" s="11">
        <f t="shared" si="4"/>
        <v>0</v>
      </c>
      <c r="D10" s="11">
        <v>250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ref="J10:J15" si="7">(B10-L10-O10)*(G10/H10)</f>
        <v>40</v>
      </c>
      <c r="K10" s="15">
        <f>45+N10*10</f>
        <v>45</v>
      </c>
      <c r="L10" s="15">
        <f t="shared" si="0"/>
        <v>5</v>
      </c>
      <c r="M10" s="14">
        <v>250</v>
      </c>
      <c r="N10" s="15">
        <v>0</v>
      </c>
      <c r="O10" s="14">
        <v>0</v>
      </c>
      <c r="P10" s="14">
        <f t="shared" si="1"/>
        <v>60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2"/>
        <v>100</v>
      </c>
    </row>
    <row r="11" ht="15" spans="1:21">
      <c r="A11" s="10" t="s">
        <v>88</v>
      </c>
      <c r="B11" s="11">
        <f t="shared" si="3"/>
        <v>45</v>
      </c>
      <c r="C11" s="11">
        <f t="shared" si="4"/>
        <v>0</v>
      </c>
      <c r="D11" s="11">
        <v>250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7"/>
        <v>5</v>
      </c>
      <c r="K11" s="15">
        <f t="shared" si="5"/>
        <v>50</v>
      </c>
      <c r="L11" s="15">
        <f>40+N11*5</f>
        <v>40</v>
      </c>
      <c r="M11" s="14">
        <v>250</v>
      </c>
      <c r="N11" s="15">
        <v>0</v>
      </c>
      <c r="O11" s="14">
        <v>0</v>
      </c>
      <c r="P11" s="14">
        <f t="shared" si="1"/>
        <v>95</v>
      </c>
      <c r="Q11" s="14">
        <f>100+N11*5</f>
        <v>100</v>
      </c>
      <c r="R11" s="14">
        <v>1</v>
      </c>
      <c r="S11" s="14">
        <v>0</v>
      </c>
      <c r="T11" s="14">
        <v>0</v>
      </c>
      <c r="U11" s="10">
        <f t="shared" si="2"/>
        <v>12.5</v>
      </c>
    </row>
    <row r="12" ht="15" spans="1:21">
      <c r="A12" s="10" t="s">
        <v>89</v>
      </c>
      <c r="B12" s="11">
        <f t="shared" si="3"/>
        <v>45</v>
      </c>
      <c r="C12" s="11">
        <f t="shared" si="4"/>
        <v>0</v>
      </c>
      <c r="D12" s="11">
        <v>250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7"/>
        <v>30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1"/>
        <v>70</v>
      </c>
      <c r="Q12" s="14">
        <v>100</v>
      </c>
      <c r="R12" s="14">
        <v>1</v>
      </c>
      <c r="S12" s="14">
        <v>0</v>
      </c>
      <c r="T12" s="14">
        <v>0</v>
      </c>
      <c r="U12" s="10">
        <f t="shared" si="2"/>
        <v>90</v>
      </c>
    </row>
    <row r="13" ht="15" spans="1:21">
      <c r="A13" s="10" t="s">
        <v>90</v>
      </c>
      <c r="B13" s="11">
        <f t="shared" si="3"/>
        <v>45</v>
      </c>
      <c r="C13" s="11">
        <f t="shared" si="4"/>
        <v>0</v>
      </c>
      <c r="D13" s="11">
        <v>250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7"/>
        <v>45</v>
      </c>
      <c r="K13" s="15">
        <f t="shared" si="5"/>
        <v>50</v>
      </c>
      <c r="L13" s="15">
        <f t="shared" si="6"/>
        <v>0</v>
      </c>
      <c r="M13" s="14">
        <v>300</v>
      </c>
      <c r="N13" s="15">
        <v>0</v>
      </c>
      <c r="O13" s="14">
        <v>0</v>
      </c>
      <c r="P13" s="14">
        <f t="shared" si="1"/>
        <v>55</v>
      </c>
      <c r="Q13" s="14">
        <v>100</v>
      </c>
      <c r="R13" s="14">
        <v>1</v>
      </c>
      <c r="S13" s="14">
        <v>0</v>
      </c>
      <c r="T13" s="14">
        <v>0</v>
      </c>
      <c r="U13" s="10">
        <f t="shared" si="2"/>
        <v>135</v>
      </c>
    </row>
    <row r="14" ht="15" spans="1:21">
      <c r="A14" s="10" t="s">
        <v>91</v>
      </c>
      <c r="B14" s="11">
        <f t="shared" si="3"/>
        <v>45</v>
      </c>
      <c r="C14" s="11">
        <f t="shared" si="4"/>
        <v>0</v>
      </c>
      <c r="D14" s="11">
        <v>250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7"/>
        <v>45</v>
      </c>
      <c r="K14" s="15">
        <f>45+N14*5</f>
        <v>45</v>
      </c>
      <c r="L14" s="15">
        <f t="shared" si="6"/>
        <v>0</v>
      </c>
      <c r="M14" s="14">
        <v>400</v>
      </c>
      <c r="N14" s="15">
        <v>0</v>
      </c>
      <c r="O14" s="14">
        <v>0</v>
      </c>
      <c r="P14" s="14">
        <f t="shared" si="1"/>
        <v>55</v>
      </c>
      <c r="Q14" s="14">
        <v>100</v>
      </c>
      <c r="R14" s="14">
        <v>1</v>
      </c>
      <c r="S14" s="14">
        <v>0</v>
      </c>
      <c r="T14" s="14">
        <v>0</v>
      </c>
      <c r="U14" s="10">
        <f t="shared" si="2"/>
        <v>180</v>
      </c>
    </row>
    <row r="15" ht="15" spans="1:21">
      <c r="A15" s="10" t="s">
        <v>92</v>
      </c>
      <c r="B15" s="11">
        <f t="shared" si="3"/>
        <v>45</v>
      </c>
      <c r="C15" s="11">
        <f t="shared" si="4"/>
        <v>0</v>
      </c>
      <c r="D15" s="11">
        <v>250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7"/>
        <v>35</v>
      </c>
      <c r="K15" s="15">
        <f>50+N15*5</f>
        <v>50</v>
      </c>
      <c r="L15" s="15">
        <f>10+N15*5</f>
        <v>10</v>
      </c>
      <c r="M15" s="14">
        <v>400</v>
      </c>
      <c r="N15" s="15">
        <v>0</v>
      </c>
      <c r="O15" s="14">
        <v>0</v>
      </c>
      <c r="P15" s="14">
        <f t="shared" si="1"/>
        <v>65</v>
      </c>
      <c r="Q15" s="14">
        <v>100</v>
      </c>
      <c r="R15" s="14">
        <v>1</v>
      </c>
      <c r="S15" s="14">
        <v>0</v>
      </c>
      <c r="T15" s="14">
        <v>0</v>
      </c>
      <c r="U15" s="10">
        <f t="shared" si="2"/>
        <v>140</v>
      </c>
    </row>
    <row r="16" ht="15" spans="1:21">
      <c r="A16" s="10" t="s">
        <v>93</v>
      </c>
      <c r="B16" s="11">
        <f t="shared" si="3"/>
        <v>45</v>
      </c>
      <c r="C16" s="11">
        <f t="shared" si="4"/>
        <v>0</v>
      </c>
      <c r="D16" s="11">
        <v>250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>(B16+10-L16-O16)*(G16/H16)</f>
        <v>35</v>
      </c>
      <c r="K16" s="15">
        <f>55+N16*5</f>
        <v>55</v>
      </c>
      <c r="L16" s="15">
        <f t="shared" ref="L16:L18" si="8">20+N16*5</f>
        <v>20</v>
      </c>
      <c r="M16" s="14">
        <v>500</v>
      </c>
      <c r="N16" s="15">
        <v>0</v>
      </c>
      <c r="O16" s="14">
        <v>0</v>
      </c>
      <c r="P16" s="14">
        <f t="shared" si="1"/>
        <v>65</v>
      </c>
      <c r="Q16" s="14">
        <v>100</v>
      </c>
      <c r="R16" s="14">
        <v>1</v>
      </c>
      <c r="S16" s="14">
        <v>0</v>
      </c>
      <c r="T16" s="14">
        <v>0</v>
      </c>
      <c r="U16" s="10">
        <f t="shared" si="2"/>
        <v>175</v>
      </c>
    </row>
    <row r="17" ht="15" spans="1:21">
      <c r="A17" s="10" t="s">
        <v>94</v>
      </c>
      <c r="B17" s="11">
        <f t="shared" si="3"/>
        <v>45</v>
      </c>
      <c r="C17" s="11">
        <f t="shared" si="4"/>
        <v>0</v>
      </c>
      <c r="D17" s="11">
        <v>250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>(B17-L17-O17)*(G17/H17)</f>
        <v>25</v>
      </c>
      <c r="K17" s="14">
        <f>70+N17*10</f>
        <v>70</v>
      </c>
      <c r="L17" s="14">
        <f t="shared" si="8"/>
        <v>20</v>
      </c>
      <c r="M17" s="14">
        <v>500</v>
      </c>
      <c r="N17" s="14">
        <v>0</v>
      </c>
      <c r="O17" s="14">
        <v>0</v>
      </c>
      <c r="P17" s="14">
        <f t="shared" si="1"/>
        <v>75</v>
      </c>
      <c r="Q17" s="14">
        <v>100</v>
      </c>
      <c r="R17" s="14">
        <v>1</v>
      </c>
      <c r="S17" s="14">
        <v>0</v>
      </c>
      <c r="T17" s="14">
        <v>0</v>
      </c>
      <c r="U17" s="10">
        <f t="shared" si="2"/>
        <v>125</v>
      </c>
    </row>
    <row r="18" ht="15" spans="1:21">
      <c r="A18" s="10" t="s">
        <v>95</v>
      </c>
      <c r="B18" s="11">
        <f t="shared" si="3"/>
        <v>45</v>
      </c>
      <c r="C18" s="11">
        <f t="shared" si="4"/>
        <v>0</v>
      </c>
      <c r="D18" s="11">
        <v>250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>(B18-L18-O18)*(G18/H18)</f>
        <v>25</v>
      </c>
      <c r="K18" s="14">
        <f>75+N18*10</f>
        <v>75</v>
      </c>
      <c r="L18" s="14">
        <f t="shared" si="8"/>
        <v>20</v>
      </c>
      <c r="M18" s="14">
        <v>600</v>
      </c>
      <c r="N18" s="15">
        <v>0</v>
      </c>
      <c r="O18" s="14">
        <v>0</v>
      </c>
      <c r="P18" s="14">
        <f t="shared" si="1"/>
        <v>75</v>
      </c>
      <c r="Q18" s="14">
        <v>100</v>
      </c>
      <c r="R18" s="14">
        <v>1</v>
      </c>
      <c r="S18" s="14">
        <v>0</v>
      </c>
      <c r="T18" s="14">
        <v>0</v>
      </c>
      <c r="U18" s="10">
        <f t="shared" si="2"/>
        <v>150</v>
      </c>
    </row>
    <row r="19" ht="15" spans="1:21">
      <c r="A19" s="10" t="s">
        <v>96</v>
      </c>
      <c r="B19" s="11">
        <f t="shared" si="3"/>
        <v>45</v>
      </c>
      <c r="C19" s="11">
        <f t="shared" si="4"/>
        <v>0</v>
      </c>
      <c r="D19" s="11">
        <v>250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>(B19-L19-O19)*(G19/H19)*50%</f>
        <v>7.5</v>
      </c>
      <c r="K19" s="14">
        <f>55+N19*5</f>
        <v>55</v>
      </c>
      <c r="L19" s="14">
        <f>30+N19*5</f>
        <v>30</v>
      </c>
      <c r="M19" s="14">
        <v>600</v>
      </c>
      <c r="N19" s="14">
        <v>0</v>
      </c>
      <c r="O19" s="14">
        <v>0</v>
      </c>
      <c r="P19" s="14">
        <f t="shared" si="1"/>
        <v>92.5</v>
      </c>
      <c r="Q19" s="14">
        <f>100+N19*25</f>
        <v>100</v>
      </c>
      <c r="R19" s="14">
        <v>1</v>
      </c>
      <c r="S19" s="14">
        <v>0</v>
      </c>
      <c r="T19" s="14">
        <v>0</v>
      </c>
      <c r="U19" s="10">
        <f t="shared" si="2"/>
        <v>45</v>
      </c>
    </row>
    <row r="20" ht="15" spans="1:21">
      <c r="A20" s="10" t="s">
        <v>97</v>
      </c>
      <c r="B20" s="11">
        <f t="shared" si="3"/>
        <v>45</v>
      </c>
      <c r="C20" s="11">
        <f t="shared" si="4"/>
        <v>0</v>
      </c>
      <c r="D20" s="11">
        <v>250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ref="J19:J26" si="9">(B20-L20-O20)*(G20/H20)</f>
        <v>35</v>
      </c>
      <c r="K20" s="14">
        <f>55+N20*10</f>
        <v>55</v>
      </c>
      <c r="L20" s="14">
        <f>10+N20*5</f>
        <v>10</v>
      </c>
      <c r="M20" s="14">
        <v>600</v>
      </c>
      <c r="N20" s="15">
        <v>0</v>
      </c>
      <c r="O20" s="14">
        <v>0</v>
      </c>
      <c r="P20" s="14">
        <f t="shared" si="1"/>
        <v>65</v>
      </c>
      <c r="Q20" s="14">
        <f>100+N20*10</f>
        <v>100</v>
      </c>
      <c r="R20" s="14">
        <v>1</v>
      </c>
      <c r="S20" s="14">
        <v>0</v>
      </c>
      <c r="T20" s="14">
        <v>0</v>
      </c>
      <c r="U20" s="10">
        <f t="shared" si="2"/>
        <v>210</v>
      </c>
    </row>
    <row r="21" ht="15" spans="1:21">
      <c r="A21" s="10" t="s">
        <v>98</v>
      </c>
      <c r="B21" s="11">
        <f t="shared" si="3"/>
        <v>45</v>
      </c>
      <c r="C21" s="11">
        <f t="shared" si="4"/>
        <v>0</v>
      </c>
      <c r="D21" s="11">
        <v>250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9"/>
        <v>45</v>
      </c>
      <c r="K21" s="14">
        <f>40+N21*5</f>
        <v>40</v>
      </c>
      <c r="L21" s="14">
        <f>0+N21*5</f>
        <v>0</v>
      </c>
      <c r="M21" s="14">
        <v>600</v>
      </c>
      <c r="N21" s="14">
        <v>0</v>
      </c>
      <c r="O21" s="14">
        <v>0</v>
      </c>
      <c r="P21" s="14">
        <f t="shared" si="1"/>
        <v>55</v>
      </c>
      <c r="Q21" s="14">
        <v>100</v>
      </c>
      <c r="R21" s="14">
        <v>1</v>
      </c>
      <c r="S21" s="14">
        <v>0</v>
      </c>
      <c r="T21" s="14">
        <v>0</v>
      </c>
      <c r="U21" s="10">
        <f t="shared" si="2"/>
        <v>270</v>
      </c>
    </row>
    <row r="22" ht="15" spans="1:21">
      <c r="A22" s="10" t="s">
        <v>99</v>
      </c>
      <c r="B22" s="11">
        <f t="shared" si="3"/>
        <v>45</v>
      </c>
      <c r="C22" s="11">
        <f t="shared" si="4"/>
        <v>0</v>
      </c>
      <c r="D22" s="11">
        <v>250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9"/>
        <v>40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1"/>
        <v>60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2"/>
        <v>320</v>
      </c>
    </row>
    <row r="23" ht="15" spans="1:21">
      <c r="A23" s="10" t="s">
        <v>100</v>
      </c>
      <c r="B23" s="11">
        <f t="shared" si="3"/>
        <v>45</v>
      </c>
      <c r="C23" s="11">
        <f t="shared" si="4"/>
        <v>0</v>
      </c>
      <c r="D23" s="11">
        <v>250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9"/>
        <v>25</v>
      </c>
      <c r="K23" s="14">
        <f>60+N23*10</f>
        <v>60</v>
      </c>
      <c r="L23" s="14">
        <f>20+N23*5</f>
        <v>20</v>
      </c>
      <c r="M23" s="14">
        <v>800</v>
      </c>
      <c r="N23" s="14">
        <v>0</v>
      </c>
      <c r="O23" s="14">
        <v>0</v>
      </c>
      <c r="P23" s="14">
        <f t="shared" si="1"/>
        <v>75</v>
      </c>
      <c r="Q23" s="14">
        <v>100</v>
      </c>
      <c r="R23" s="14">
        <v>1</v>
      </c>
      <c r="S23" s="14">
        <v>0</v>
      </c>
      <c r="T23" s="14">
        <v>0</v>
      </c>
      <c r="U23" s="10">
        <f t="shared" si="2"/>
        <v>200</v>
      </c>
    </row>
    <row r="24" ht="15" spans="1:21">
      <c r="A24" s="10" t="s">
        <v>101</v>
      </c>
      <c r="B24" s="11">
        <f t="shared" si="3"/>
        <v>45</v>
      </c>
      <c r="C24" s="11">
        <f t="shared" si="4"/>
        <v>0</v>
      </c>
      <c r="D24" s="11">
        <v>250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>(B24-L24-O24)*(G24/H24)*50%</f>
        <v>10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1"/>
        <v>90</v>
      </c>
      <c r="Q24" s="14">
        <v>100</v>
      </c>
      <c r="R24" s="14">
        <v>1</v>
      </c>
      <c r="S24" s="14">
        <v>0</v>
      </c>
      <c r="T24" s="14">
        <v>0</v>
      </c>
      <c r="U24" s="10">
        <f t="shared" si="2"/>
        <v>100</v>
      </c>
    </row>
    <row r="25" ht="15" spans="1:21">
      <c r="A25" s="10" t="s">
        <v>102</v>
      </c>
      <c r="B25" s="11">
        <f t="shared" si="3"/>
        <v>45</v>
      </c>
      <c r="C25" s="11">
        <f t="shared" si="4"/>
        <v>0</v>
      </c>
      <c r="D25" s="11">
        <v>250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9"/>
        <v>25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1"/>
        <v>75</v>
      </c>
      <c r="Q25" s="14">
        <v>100</v>
      </c>
      <c r="R25" s="14">
        <v>1</v>
      </c>
      <c r="S25" s="14">
        <v>0</v>
      </c>
      <c r="T25" s="14">
        <v>0</v>
      </c>
      <c r="U25" s="10">
        <f t="shared" si="2"/>
        <v>150</v>
      </c>
    </row>
    <row r="26" ht="15" spans="1:21">
      <c r="A26" s="10" t="s">
        <v>103</v>
      </c>
      <c r="B26" s="11">
        <f t="shared" si="3"/>
        <v>45</v>
      </c>
      <c r="C26" s="11">
        <f t="shared" si="4"/>
        <v>0</v>
      </c>
      <c r="D26" s="11">
        <v>250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9"/>
        <v>40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1"/>
        <v>60</v>
      </c>
      <c r="Q26" s="14">
        <v>100</v>
      </c>
      <c r="R26" s="14">
        <v>1</v>
      </c>
      <c r="S26" s="14">
        <v>0</v>
      </c>
      <c r="T26" s="14">
        <v>0</v>
      </c>
      <c r="U26" s="10">
        <f t="shared" si="2"/>
        <v>60</v>
      </c>
    </row>
    <row r="27" customFormat="1" ht="15" spans="1:1">
      <c r="A27" s="22" t="s">
        <v>104</v>
      </c>
    </row>
    <row r="28" ht="15" spans="1:21">
      <c r="A28" s="10" t="s">
        <v>94</v>
      </c>
      <c r="B28" s="11">
        <f>45+E28*10</f>
        <v>45</v>
      </c>
      <c r="C28" s="11">
        <f>0+E28*5</f>
        <v>0</v>
      </c>
      <c r="D28" s="11">
        <v>250</v>
      </c>
      <c r="E28" s="11">
        <v>0</v>
      </c>
      <c r="F28" s="8">
        <v>0</v>
      </c>
      <c r="G28" s="8">
        <v>100</v>
      </c>
      <c r="H28" s="8">
        <v>100</v>
      </c>
      <c r="I28" s="8">
        <v>0</v>
      </c>
      <c r="J28" s="8">
        <f>(B28-L28-O28)*(G28/H28)</f>
        <v>25</v>
      </c>
      <c r="K28" s="14">
        <f>70+N28*10</f>
        <v>70</v>
      </c>
      <c r="L28" s="14">
        <v>20</v>
      </c>
      <c r="M28" s="14">
        <v>500</v>
      </c>
      <c r="N28" s="14">
        <v>0</v>
      </c>
      <c r="O28" s="14">
        <v>0</v>
      </c>
      <c r="P28" s="14">
        <f>Q28-J28</f>
        <v>75</v>
      </c>
      <c r="Q28" s="14">
        <v>100</v>
      </c>
      <c r="R28" s="14">
        <v>1</v>
      </c>
      <c r="S28" s="14">
        <v>0</v>
      </c>
      <c r="T28" s="14">
        <f>(K28-C28-F28)*1</f>
        <v>70</v>
      </c>
      <c r="U28" s="10">
        <f>(M28*(N28/3+1)*(J28*R28+S28)-(D28*(E28/3+1))*(T28+I28))/100</f>
        <v>-50</v>
      </c>
    </row>
  </sheetData>
  <mergeCells count="14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A5:A6"/>
    <mergeCell ref="U5:U6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zoomScale="90" zoomScaleNormal="90" topLeftCell="B1" workbookViewId="0">
      <selection activeCell="L7" sqref="L7:L26"/>
    </sheetView>
  </sheetViews>
  <sheetFormatPr defaultColWidth="8.89090909090909" defaultRowHeight="14"/>
  <cols>
    <col min="1" max="1" width="18.1090909090909" customWidth="1"/>
    <col min="2" max="3" width="8.33636363636364" customWidth="1"/>
    <col min="4" max="7" width="6.10909090909091" customWidth="1"/>
    <col min="8" max="8" width="8.33636363636364" customWidth="1"/>
    <col min="9" max="9" width="18.1090909090909" customWidth="1"/>
    <col min="10" max="10" width="10.6636363636364" customWidth="1"/>
    <col min="11" max="12" width="8.33636363636364" customWidth="1"/>
    <col min="13" max="16" width="6.10909090909091" customWidth="1"/>
    <col min="17" max="17" width="8.33636363636364" customWidth="1"/>
    <col min="18" max="18" width="10.6636363636364" customWidth="1"/>
    <col min="19" max="19" width="18.1090909090909" customWidth="1"/>
    <col min="20" max="21" width="10.6636363636364" customWidth="1"/>
  </cols>
  <sheetData>
    <row r="1" ht="15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ht="15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ht="15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S4" s="1"/>
      <c r="T4" s="16" t="s">
        <v>6</v>
      </c>
      <c r="U4" s="17"/>
    </row>
    <row r="5" ht="15" spans="1:21">
      <c r="A5" s="7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ht="15" spans="1:21">
      <c r="A6" s="9"/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ht="15" spans="1:21">
      <c r="A7" s="10" t="s">
        <v>105</v>
      </c>
      <c r="B7" s="11">
        <f t="shared" ref="B7:B26" si="0">50+E7*10</f>
        <v>50</v>
      </c>
      <c r="C7" s="11">
        <f t="shared" ref="C7:C10" si="1">40+E7*5</f>
        <v>40</v>
      </c>
      <c r="D7" s="11">
        <v>250</v>
      </c>
      <c r="E7" s="11">
        <v>0</v>
      </c>
      <c r="F7" s="8">
        <v>0</v>
      </c>
      <c r="G7" s="8">
        <v>100</v>
      </c>
      <c r="H7" s="8">
        <f>100+E7*5</f>
        <v>100</v>
      </c>
      <c r="I7" s="8">
        <v>0</v>
      </c>
      <c r="J7" s="8">
        <f>(B7-L7-O7)*(G7/H7)</f>
        <v>45</v>
      </c>
      <c r="K7" s="15">
        <f>55+N7*10</f>
        <v>55</v>
      </c>
      <c r="L7" s="15">
        <f>5+N7*5</f>
        <v>5</v>
      </c>
      <c r="M7" s="15">
        <v>150</v>
      </c>
      <c r="N7" s="15">
        <v>0</v>
      </c>
      <c r="O7" s="14">
        <v>0</v>
      </c>
      <c r="P7" s="14">
        <f t="shared" ref="P7:P26" si="2">Q7-J7</f>
        <v>55</v>
      </c>
      <c r="Q7" s="14">
        <v>100</v>
      </c>
      <c r="R7" s="14">
        <v>1</v>
      </c>
      <c r="S7" s="14">
        <v>0</v>
      </c>
      <c r="T7" s="14">
        <f>(K7-C7-F7)*(P7/Q7)</f>
        <v>8.25</v>
      </c>
      <c r="U7" s="10">
        <f t="shared" ref="U7:U26" si="3">(M7*(N7/3+1)*(J7*R7+S7)-(D7*(E7/3+1))*(T7+I7))/100</f>
        <v>46.875</v>
      </c>
    </row>
    <row r="8" ht="15" spans="1:21">
      <c r="A8" s="10" t="s">
        <v>106</v>
      </c>
      <c r="B8" s="11">
        <f t="shared" si="0"/>
        <v>50</v>
      </c>
      <c r="C8" s="11">
        <f t="shared" ref="C8:C14" si="4">-10+E8*5</f>
        <v>-10</v>
      </c>
      <c r="D8" s="11">
        <v>250</v>
      </c>
      <c r="E8" s="11">
        <v>0</v>
      </c>
      <c r="F8" s="8">
        <v>0</v>
      </c>
      <c r="G8" s="8">
        <v>100</v>
      </c>
      <c r="H8" s="8">
        <f t="shared" ref="H8:H26" si="5">100+E8*5</f>
        <v>100</v>
      </c>
      <c r="I8" s="8">
        <v>0</v>
      </c>
      <c r="J8" s="8">
        <f t="shared" ref="J8:J26" si="6">(B8-L8-O8)*(G8/H8)</f>
        <v>35</v>
      </c>
      <c r="K8" s="15">
        <f t="shared" ref="K8:K13" si="7">50+N8*10</f>
        <v>50</v>
      </c>
      <c r="L8" s="15">
        <f>15+N8*5</f>
        <v>15</v>
      </c>
      <c r="M8" s="14">
        <v>200</v>
      </c>
      <c r="N8" s="15">
        <v>0</v>
      </c>
      <c r="O8" s="14">
        <v>0</v>
      </c>
      <c r="P8" s="14">
        <f t="shared" si="2"/>
        <v>65</v>
      </c>
      <c r="Q8" s="14">
        <v>100</v>
      </c>
      <c r="R8" s="14">
        <v>1</v>
      </c>
      <c r="S8" s="14">
        <v>0</v>
      </c>
      <c r="T8" s="14">
        <f t="shared" ref="T8:T26" si="8">(K8-C8-F8)*(P8/Q8)</f>
        <v>39</v>
      </c>
      <c r="U8" s="10">
        <f t="shared" si="3"/>
        <v>-27.5</v>
      </c>
    </row>
    <row r="9" ht="15" spans="1:21">
      <c r="A9" s="10" t="s">
        <v>107</v>
      </c>
      <c r="B9" s="11">
        <f t="shared" si="0"/>
        <v>50</v>
      </c>
      <c r="C9" s="11">
        <f t="shared" si="1"/>
        <v>40</v>
      </c>
      <c r="D9" s="11">
        <v>250</v>
      </c>
      <c r="E9" s="11">
        <v>0</v>
      </c>
      <c r="F9" s="8">
        <v>0</v>
      </c>
      <c r="G9" s="8">
        <v>100</v>
      </c>
      <c r="H9" s="8">
        <f t="shared" si="5"/>
        <v>100</v>
      </c>
      <c r="I9" s="8">
        <v>0</v>
      </c>
      <c r="J9" s="8">
        <f t="shared" si="6"/>
        <v>50</v>
      </c>
      <c r="K9" s="15">
        <f>40+N9*10</f>
        <v>40</v>
      </c>
      <c r="L9" s="15">
        <f>0+N9*5</f>
        <v>0</v>
      </c>
      <c r="M9" s="14">
        <v>200</v>
      </c>
      <c r="N9" s="15">
        <v>0</v>
      </c>
      <c r="O9" s="14">
        <v>0</v>
      </c>
      <c r="P9" s="14">
        <f t="shared" si="2"/>
        <v>50</v>
      </c>
      <c r="Q9" s="14">
        <v>100</v>
      </c>
      <c r="R9" s="14">
        <v>1</v>
      </c>
      <c r="S9" s="14">
        <v>0</v>
      </c>
      <c r="T9" s="14">
        <f t="shared" si="8"/>
        <v>0</v>
      </c>
      <c r="U9" s="10">
        <f t="shared" si="3"/>
        <v>100</v>
      </c>
    </row>
    <row r="10" ht="15" spans="1:21">
      <c r="A10" s="10" t="s">
        <v>108</v>
      </c>
      <c r="B10" s="11">
        <f t="shared" si="0"/>
        <v>50</v>
      </c>
      <c r="C10" s="11">
        <f t="shared" si="1"/>
        <v>40</v>
      </c>
      <c r="D10" s="11">
        <v>250</v>
      </c>
      <c r="E10" s="11">
        <v>0</v>
      </c>
      <c r="F10" s="8">
        <v>0</v>
      </c>
      <c r="G10" s="8">
        <v>100</v>
      </c>
      <c r="H10" s="8">
        <f t="shared" si="5"/>
        <v>100</v>
      </c>
      <c r="I10" s="8">
        <v>0</v>
      </c>
      <c r="J10" s="8">
        <f t="shared" si="6"/>
        <v>45</v>
      </c>
      <c r="K10" s="15">
        <f>45+N10*10</f>
        <v>45</v>
      </c>
      <c r="L10" s="15">
        <f>5+N10*5</f>
        <v>5</v>
      </c>
      <c r="M10" s="14">
        <v>250</v>
      </c>
      <c r="N10" s="15">
        <v>0</v>
      </c>
      <c r="O10" s="14">
        <v>0</v>
      </c>
      <c r="P10" s="14">
        <f t="shared" si="2"/>
        <v>55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3"/>
        <v>112.5</v>
      </c>
    </row>
    <row r="11" ht="15" spans="1:21">
      <c r="A11" s="10" t="s">
        <v>109</v>
      </c>
      <c r="B11" s="11">
        <f t="shared" si="0"/>
        <v>50</v>
      </c>
      <c r="C11" s="11">
        <f t="shared" si="4"/>
        <v>-10</v>
      </c>
      <c r="D11" s="11">
        <v>250</v>
      </c>
      <c r="E11" s="11">
        <v>0</v>
      </c>
      <c r="F11" s="8">
        <v>0</v>
      </c>
      <c r="G11" s="8">
        <v>100</v>
      </c>
      <c r="H11" s="8">
        <f t="shared" si="5"/>
        <v>100</v>
      </c>
      <c r="I11" s="8">
        <v>0</v>
      </c>
      <c r="J11" s="8">
        <f t="shared" si="6"/>
        <v>60</v>
      </c>
      <c r="K11" s="15">
        <f t="shared" si="7"/>
        <v>50</v>
      </c>
      <c r="L11" s="15">
        <f>-10+N11*5</f>
        <v>-10</v>
      </c>
      <c r="M11" s="14">
        <v>250</v>
      </c>
      <c r="N11" s="15">
        <v>0</v>
      </c>
      <c r="O11" s="14">
        <v>0</v>
      </c>
      <c r="P11" s="14">
        <f t="shared" si="2"/>
        <v>40</v>
      </c>
      <c r="Q11" s="14">
        <f>100+N11*5</f>
        <v>100</v>
      </c>
      <c r="R11" s="14">
        <v>1</v>
      </c>
      <c r="S11" s="14">
        <v>0</v>
      </c>
      <c r="T11" s="14">
        <f t="shared" si="8"/>
        <v>24</v>
      </c>
      <c r="U11" s="10">
        <f t="shared" si="3"/>
        <v>90</v>
      </c>
    </row>
    <row r="12" ht="15" spans="1:21">
      <c r="A12" s="10" t="s">
        <v>110</v>
      </c>
      <c r="B12" s="11">
        <f t="shared" si="0"/>
        <v>50</v>
      </c>
      <c r="C12" s="11">
        <f t="shared" ref="C12:C19" si="9">40+E12*5</f>
        <v>40</v>
      </c>
      <c r="D12" s="11">
        <v>250</v>
      </c>
      <c r="E12" s="11">
        <v>0</v>
      </c>
      <c r="F12" s="8">
        <v>0</v>
      </c>
      <c r="G12" s="8">
        <v>100</v>
      </c>
      <c r="H12" s="8">
        <f t="shared" si="5"/>
        <v>100</v>
      </c>
      <c r="I12" s="8">
        <v>0</v>
      </c>
      <c r="J12" s="8">
        <f t="shared" si="6"/>
        <v>35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2"/>
        <v>65</v>
      </c>
      <c r="Q12" s="14">
        <v>100</v>
      </c>
      <c r="R12" s="14">
        <v>1</v>
      </c>
      <c r="S12" s="14">
        <v>0</v>
      </c>
      <c r="T12" s="14">
        <f t="shared" si="8"/>
        <v>13</v>
      </c>
      <c r="U12" s="10">
        <f t="shared" si="3"/>
        <v>72.5</v>
      </c>
    </row>
    <row r="13" ht="15" spans="1:21">
      <c r="A13" s="10" t="s">
        <v>111</v>
      </c>
      <c r="B13" s="11">
        <f t="shared" si="0"/>
        <v>50</v>
      </c>
      <c r="C13" s="11">
        <f t="shared" si="4"/>
        <v>-10</v>
      </c>
      <c r="D13" s="11">
        <v>250</v>
      </c>
      <c r="E13" s="11">
        <v>0</v>
      </c>
      <c r="F13" s="8">
        <v>0</v>
      </c>
      <c r="G13" s="8">
        <v>100</v>
      </c>
      <c r="H13" s="8">
        <f t="shared" si="5"/>
        <v>100</v>
      </c>
      <c r="I13" s="8">
        <v>0</v>
      </c>
      <c r="J13" s="8">
        <f t="shared" si="6"/>
        <v>30</v>
      </c>
      <c r="K13" s="15">
        <f t="shared" si="7"/>
        <v>50</v>
      </c>
      <c r="L13" s="15">
        <f>20+N13*5</f>
        <v>20</v>
      </c>
      <c r="M13" s="14">
        <v>300</v>
      </c>
      <c r="N13" s="15">
        <v>0</v>
      </c>
      <c r="O13" s="14">
        <v>0</v>
      </c>
      <c r="P13" s="14">
        <f t="shared" si="2"/>
        <v>70</v>
      </c>
      <c r="Q13" s="14">
        <v>100</v>
      </c>
      <c r="R13" s="14">
        <v>1</v>
      </c>
      <c r="S13" s="14">
        <v>0</v>
      </c>
      <c r="T13" s="14">
        <f t="shared" si="8"/>
        <v>42</v>
      </c>
      <c r="U13" s="10">
        <f t="shared" si="3"/>
        <v>-15</v>
      </c>
    </row>
    <row r="14" ht="15" spans="1:21">
      <c r="A14" s="10" t="s">
        <v>112</v>
      </c>
      <c r="B14" s="11">
        <f t="shared" si="0"/>
        <v>50</v>
      </c>
      <c r="C14" s="11">
        <f t="shared" si="4"/>
        <v>-10</v>
      </c>
      <c r="D14" s="11">
        <v>250</v>
      </c>
      <c r="E14" s="11">
        <v>0</v>
      </c>
      <c r="F14" s="8">
        <v>0</v>
      </c>
      <c r="G14" s="8">
        <v>100</v>
      </c>
      <c r="H14" s="8">
        <f t="shared" si="5"/>
        <v>100</v>
      </c>
      <c r="I14" s="8">
        <v>0</v>
      </c>
      <c r="J14" s="8">
        <f t="shared" si="6"/>
        <v>10</v>
      </c>
      <c r="K14" s="15">
        <f>45+N14*5</f>
        <v>45</v>
      </c>
      <c r="L14" s="15">
        <f>40+N14*5</f>
        <v>40</v>
      </c>
      <c r="M14" s="14">
        <v>400</v>
      </c>
      <c r="N14" s="15">
        <v>0</v>
      </c>
      <c r="O14" s="14">
        <v>0</v>
      </c>
      <c r="P14" s="14">
        <f t="shared" si="2"/>
        <v>90</v>
      </c>
      <c r="Q14" s="14">
        <v>100</v>
      </c>
      <c r="R14" s="14">
        <v>1</v>
      </c>
      <c r="S14" s="14">
        <v>0</v>
      </c>
      <c r="T14" s="14">
        <f t="shared" si="8"/>
        <v>49.5</v>
      </c>
      <c r="U14" s="10">
        <f t="shared" si="3"/>
        <v>-83.75</v>
      </c>
    </row>
    <row r="15" ht="15" spans="1:21">
      <c r="A15" s="10" t="s">
        <v>113</v>
      </c>
      <c r="B15" s="11">
        <f t="shared" si="0"/>
        <v>50</v>
      </c>
      <c r="C15" s="11">
        <f t="shared" si="9"/>
        <v>40</v>
      </c>
      <c r="D15" s="11">
        <v>250</v>
      </c>
      <c r="E15" s="11">
        <v>0</v>
      </c>
      <c r="F15" s="8">
        <v>0</v>
      </c>
      <c r="G15" s="8">
        <v>100</v>
      </c>
      <c r="H15" s="8">
        <f t="shared" si="5"/>
        <v>100</v>
      </c>
      <c r="I15" s="8">
        <v>0</v>
      </c>
      <c r="J15" s="8">
        <f t="shared" si="6"/>
        <v>40</v>
      </c>
      <c r="K15" s="15">
        <f>50+N15*5</f>
        <v>50</v>
      </c>
      <c r="L15" s="15">
        <f t="shared" ref="L15:L19" si="10">10+N15*5</f>
        <v>10</v>
      </c>
      <c r="M15" s="14">
        <v>400</v>
      </c>
      <c r="N15" s="15">
        <v>0</v>
      </c>
      <c r="O15" s="14">
        <v>0</v>
      </c>
      <c r="P15" s="14">
        <f t="shared" si="2"/>
        <v>60</v>
      </c>
      <c r="Q15" s="14">
        <v>100</v>
      </c>
      <c r="R15" s="14">
        <v>1</v>
      </c>
      <c r="S15" s="14">
        <v>0</v>
      </c>
      <c r="T15" s="14">
        <f t="shared" si="8"/>
        <v>6</v>
      </c>
      <c r="U15" s="10">
        <f t="shared" si="3"/>
        <v>145</v>
      </c>
    </row>
    <row r="16" ht="15" spans="1:21">
      <c r="A16" s="10" t="s">
        <v>114</v>
      </c>
      <c r="B16" s="11">
        <f t="shared" si="0"/>
        <v>50</v>
      </c>
      <c r="C16" s="11">
        <f t="shared" ref="C16:C21" si="11">-10+E16*5</f>
        <v>-10</v>
      </c>
      <c r="D16" s="11">
        <v>250</v>
      </c>
      <c r="E16" s="11">
        <v>0</v>
      </c>
      <c r="F16" s="8">
        <v>0</v>
      </c>
      <c r="G16" s="8">
        <v>100</v>
      </c>
      <c r="H16" s="8">
        <f t="shared" si="5"/>
        <v>100</v>
      </c>
      <c r="I16" s="8">
        <v>0</v>
      </c>
      <c r="J16" s="8">
        <f t="shared" si="6"/>
        <v>20</v>
      </c>
      <c r="K16" s="15">
        <f>55+N16*5</f>
        <v>55</v>
      </c>
      <c r="L16" s="15">
        <f>30+N16*5</f>
        <v>30</v>
      </c>
      <c r="M16" s="14">
        <v>500</v>
      </c>
      <c r="N16" s="15">
        <v>0</v>
      </c>
      <c r="O16" s="14">
        <v>0</v>
      </c>
      <c r="P16" s="14">
        <f t="shared" si="2"/>
        <v>80</v>
      </c>
      <c r="Q16" s="14">
        <v>100</v>
      </c>
      <c r="R16" s="14">
        <v>1</v>
      </c>
      <c r="S16" s="14">
        <v>0</v>
      </c>
      <c r="T16" s="14">
        <f t="shared" si="8"/>
        <v>52</v>
      </c>
      <c r="U16" s="10">
        <f t="shared" si="3"/>
        <v>-30</v>
      </c>
    </row>
    <row r="17" ht="15" spans="1:21">
      <c r="A17" s="10" t="s">
        <v>115</v>
      </c>
      <c r="B17" s="11">
        <f t="shared" si="0"/>
        <v>50</v>
      </c>
      <c r="C17" s="11">
        <f t="shared" si="9"/>
        <v>40</v>
      </c>
      <c r="D17" s="11">
        <v>250</v>
      </c>
      <c r="E17" s="11">
        <v>0</v>
      </c>
      <c r="F17" s="8">
        <v>0</v>
      </c>
      <c r="G17" s="8">
        <v>100</v>
      </c>
      <c r="H17" s="8">
        <f t="shared" si="5"/>
        <v>100</v>
      </c>
      <c r="I17" s="8">
        <v>0</v>
      </c>
      <c r="J17" s="8">
        <f t="shared" si="6"/>
        <v>40</v>
      </c>
      <c r="K17" s="14">
        <f>70+N17*10</f>
        <v>70</v>
      </c>
      <c r="L17" s="14">
        <f t="shared" si="10"/>
        <v>10</v>
      </c>
      <c r="M17" s="14">
        <v>500</v>
      </c>
      <c r="N17" s="14">
        <v>0</v>
      </c>
      <c r="O17" s="14">
        <v>0</v>
      </c>
      <c r="P17" s="14">
        <f t="shared" si="2"/>
        <v>60</v>
      </c>
      <c r="Q17" s="14">
        <v>100</v>
      </c>
      <c r="R17" s="14">
        <v>1</v>
      </c>
      <c r="S17" s="14">
        <v>0</v>
      </c>
      <c r="T17" s="14">
        <f>(K17-C17-F17)*1</f>
        <v>30</v>
      </c>
      <c r="U17" s="10">
        <f t="shared" si="3"/>
        <v>125</v>
      </c>
    </row>
    <row r="18" ht="15" spans="1:21">
      <c r="A18" s="10" t="s">
        <v>116</v>
      </c>
      <c r="B18" s="11">
        <f t="shared" si="0"/>
        <v>50</v>
      </c>
      <c r="C18" s="11">
        <f t="shared" si="9"/>
        <v>40</v>
      </c>
      <c r="D18" s="11">
        <v>250</v>
      </c>
      <c r="E18" s="11">
        <v>0</v>
      </c>
      <c r="F18" s="8">
        <v>0</v>
      </c>
      <c r="G18" s="8">
        <v>100</v>
      </c>
      <c r="H18" s="8">
        <f t="shared" si="5"/>
        <v>100</v>
      </c>
      <c r="I18" s="8">
        <v>0</v>
      </c>
      <c r="J18" s="8">
        <f t="shared" si="6"/>
        <v>40</v>
      </c>
      <c r="K18" s="14">
        <f>75+N18*10</f>
        <v>75</v>
      </c>
      <c r="L18" s="14">
        <f t="shared" si="10"/>
        <v>10</v>
      </c>
      <c r="M18" s="14">
        <v>600</v>
      </c>
      <c r="N18" s="15">
        <v>0</v>
      </c>
      <c r="O18" s="14">
        <v>0</v>
      </c>
      <c r="P18" s="14">
        <f t="shared" si="2"/>
        <v>60</v>
      </c>
      <c r="Q18" s="14">
        <v>100</v>
      </c>
      <c r="R18" s="14">
        <v>1</v>
      </c>
      <c r="S18" s="14">
        <v>0</v>
      </c>
      <c r="T18" s="14">
        <f t="shared" si="8"/>
        <v>21</v>
      </c>
      <c r="U18" s="10">
        <f t="shared" si="3"/>
        <v>187.5</v>
      </c>
    </row>
    <row r="19" ht="15" spans="1:21">
      <c r="A19" s="10" t="s">
        <v>117</v>
      </c>
      <c r="B19" s="11">
        <f t="shared" si="0"/>
        <v>50</v>
      </c>
      <c r="C19" s="11">
        <f t="shared" si="9"/>
        <v>40</v>
      </c>
      <c r="D19" s="11">
        <v>250</v>
      </c>
      <c r="E19" s="11">
        <v>0</v>
      </c>
      <c r="F19" s="8">
        <v>0</v>
      </c>
      <c r="G19" s="8">
        <v>100</v>
      </c>
      <c r="H19" s="8">
        <f t="shared" si="5"/>
        <v>100</v>
      </c>
      <c r="I19" s="8">
        <v>0</v>
      </c>
      <c r="J19" s="8">
        <f t="shared" si="6"/>
        <v>40</v>
      </c>
      <c r="K19" s="14">
        <f>55+N19*5</f>
        <v>55</v>
      </c>
      <c r="L19" s="14">
        <f t="shared" si="10"/>
        <v>10</v>
      </c>
      <c r="M19" s="14">
        <v>600</v>
      </c>
      <c r="N19" s="14">
        <v>0</v>
      </c>
      <c r="O19" s="14">
        <v>0</v>
      </c>
      <c r="P19" s="14">
        <f t="shared" si="2"/>
        <v>60</v>
      </c>
      <c r="Q19" s="14">
        <f>100+N19*25</f>
        <v>100</v>
      </c>
      <c r="R19" s="14">
        <v>1</v>
      </c>
      <c r="S19" s="14">
        <v>0</v>
      </c>
      <c r="T19" s="14">
        <f t="shared" si="8"/>
        <v>9</v>
      </c>
      <c r="U19" s="10">
        <f t="shared" si="3"/>
        <v>217.5</v>
      </c>
    </row>
    <row r="20" ht="15" spans="1:21">
      <c r="A20" s="10" t="s">
        <v>118</v>
      </c>
      <c r="B20" s="11">
        <f t="shared" si="0"/>
        <v>50</v>
      </c>
      <c r="C20" s="11">
        <f t="shared" si="11"/>
        <v>-10</v>
      </c>
      <c r="D20" s="11">
        <v>250</v>
      </c>
      <c r="E20" s="11">
        <v>0</v>
      </c>
      <c r="F20" s="8">
        <v>0</v>
      </c>
      <c r="G20" s="8">
        <v>100</v>
      </c>
      <c r="H20" s="8">
        <f t="shared" si="5"/>
        <v>100</v>
      </c>
      <c r="I20" s="8">
        <v>0</v>
      </c>
      <c r="J20" s="8">
        <f t="shared" si="6"/>
        <v>30</v>
      </c>
      <c r="K20" s="14">
        <f>55+N20*10</f>
        <v>55</v>
      </c>
      <c r="L20" s="14">
        <f>20+N20*5</f>
        <v>20</v>
      </c>
      <c r="M20" s="14">
        <v>600</v>
      </c>
      <c r="N20" s="15">
        <v>0</v>
      </c>
      <c r="O20" s="14">
        <v>0</v>
      </c>
      <c r="P20" s="14">
        <f t="shared" si="2"/>
        <v>70</v>
      </c>
      <c r="Q20" s="14">
        <f>100+N20*10</f>
        <v>100</v>
      </c>
      <c r="R20" s="14">
        <v>1</v>
      </c>
      <c r="S20" s="14">
        <v>0</v>
      </c>
      <c r="T20" s="14">
        <f t="shared" si="8"/>
        <v>45.5</v>
      </c>
      <c r="U20" s="10">
        <f t="shared" si="3"/>
        <v>66.25</v>
      </c>
    </row>
    <row r="21" ht="15" spans="1:21">
      <c r="A21" s="10" t="s">
        <v>119</v>
      </c>
      <c r="B21" s="11">
        <f t="shared" si="0"/>
        <v>50</v>
      </c>
      <c r="C21" s="11">
        <f t="shared" si="11"/>
        <v>-10</v>
      </c>
      <c r="D21" s="11">
        <v>250</v>
      </c>
      <c r="E21" s="11">
        <v>0</v>
      </c>
      <c r="F21" s="8">
        <v>0</v>
      </c>
      <c r="G21" s="8">
        <v>100</v>
      </c>
      <c r="H21" s="8">
        <f t="shared" si="5"/>
        <v>100</v>
      </c>
      <c r="I21" s="8">
        <v>0</v>
      </c>
      <c r="J21" s="8">
        <f t="shared" si="6"/>
        <v>20</v>
      </c>
      <c r="K21" s="14">
        <f>40+N21*5</f>
        <v>40</v>
      </c>
      <c r="L21" s="14">
        <f>30+N21*5</f>
        <v>30</v>
      </c>
      <c r="M21" s="14">
        <v>600</v>
      </c>
      <c r="N21" s="14">
        <v>0</v>
      </c>
      <c r="O21" s="14">
        <v>0</v>
      </c>
      <c r="P21" s="14">
        <f t="shared" si="2"/>
        <v>80</v>
      </c>
      <c r="Q21" s="14">
        <v>100</v>
      </c>
      <c r="R21" s="14">
        <v>1</v>
      </c>
      <c r="S21" s="14">
        <v>0</v>
      </c>
      <c r="T21" s="14">
        <f t="shared" si="8"/>
        <v>40</v>
      </c>
      <c r="U21" s="10">
        <f t="shared" si="3"/>
        <v>20</v>
      </c>
    </row>
    <row r="22" ht="15" spans="1:21">
      <c r="A22" s="10" t="s">
        <v>120</v>
      </c>
      <c r="B22" s="11">
        <f t="shared" si="0"/>
        <v>50</v>
      </c>
      <c r="C22" s="11">
        <f t="shared" ref="C22:C26" si="12">40+E22*5</f>
        <v>40</v>
      </c>
      <c r="D22" s="11">
        <v>250</v>
      </c>
      <c r="E22" s="11">
        <v>0</v>
      </c>
      <c r="F22" s="8">
        <v>0</v>
      </c>
      <c r="G22" s="8">
        <v>100</v>
      </c>
      <c r="H22" s="8">
        <f t="shared" si="5"/>
        <v>100</v>
      </c>
      <c r="I22" s="8">
        <v>0</v>
      </c>
      <c r="J22" s="8">
        <f t="shared" si="6"/>
        <v>45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2"/>
        <v>55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3"/>
        <v>360</v>
      </c>
    </row>
    <row r="23" ht="15" spans="1:21">
      <c r="A23" s="10" t="s">
        <v>121</v>
      </c>
      <c r="B23" s="11">
        <f t="shared" si="0"/>
        <v>50</v>
      </c>
      <c r="C23" s="11">
        <f t="shared" si="12"/>
        <v>40</v>
      </c>
      <c r="D23" s="11">
        <v>250</v>
      </c>
      <c r="E23" s="11">
        <v>0</v>
      </c>
      <c r="F23" s="8">
        <v>0</v>
      </c>
      <c r="G23" s="8">
        <v>100</v>
      </c>
      <c r="H23" s="8">
        <f t="shared" si="5"/>
        <v>100</v>
      </c>
      <c r="I23" s="8">
        <v>0</v>
      </c>
      <c r="J23" s="8">
        <f t="shared" si="6"/>
        <v>40</v>
      </c>
      <c r="K23" s="14">
        <f>60+N23*10</f>
        <v>60</v>
      </c>
      <c r="L23" s="14">
        <f>10+N23*5</f>
        <v>10</v>
      </c>
      <c r="M23" s="14">
        <v>800</v>
      </c>
      <c r="N23" s="14">
        <v>0</v>
      </c>
      <c r="O23" s="14">
        <v>0</v>
      </c>
      <c r="P23" s="14">
        <f t="shared" si="2"/>
        <v>60</v>
      </c>
      <c r="Q23" s="14">
        <v>100</v>
      </c>
      <c r="R23" s="14">
        <v>1</v>
      </c>
      <c r="S23" s="14">
        <v>0</v>
      </c>
      <c r="T23" s="14">
        <f t="shared" si="8"/>
        <v>12</v>
      </c>
      <c r="U23" s="10">
        <f t="shared" si="3"/>
        <v>290</v>
      </c>
    </row>
    <row r="24" ht="15" spans="1:21">
      <c r="A24" s="10" t="s">
        <v>122</v>
      </c>
      <c r="B24" s="11">
        <f t="shared" si="0"/>
        <v>50</v>
      </c>
      <c r="C24" s="11">
        <f>-10+E24*5</f>
        <v>-10</v>
      </c>
      <c r="D24" s="11">
        <v>250</v>
      </c>
      <c r="E24" s="11">
        <v>0</v>
      </c>
      <c r="F24" s="8">
        <v>0</v>
      </c>
      <c r="G24" s="8">
        <v>100</v>
      </c>
      <c r="H24" s="8">
        <f t="shared" si="5"/>
        <v>100</v>
      </c>
      <c r="I24" s="8">
        <v>0</v>
      </c>
      <c r="J24" s="8">
        <f t="shared" si="6"/>
        <v>25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2"/>
        <v>75</v>
      </c>
      <c r="Q24" s="14">
        <v>100</v>
      </c>
      <c r="R24" s="14">
        <v>1</v>
      </c>
      <c r="S24" s="14">
        <v>0</v>
      </c>
      <c r="T24" s="14">
        <f>(K24-C24-F24)*(P24/Q24)*1.5</f>
        <v>90</v>
      </c>
      <c r="U24" s="10">
        <f t="shared" si="3"/>
        <v>25</v>
      </c>
    </row>
    <row r="25" ht="15" spans="1:21">
      <c r="A25" s="10" t="s">
        <v>123</v>
      </c>
      <c r="B25" s="11">
        <f t="shared" si="0"/>
        <v>50</v>
      </c>
      <c r="C25" s="11">
        <f t="shared" si="12"/>
        <v>40</v>
      </c>
      <c r="D25" s="11">
        <v>250</v>
      </c>
      <c r="E25" s="11">
        <v>0</v>
      </c>
      <c r="F25" s="8">
        <v>0</v>
      </c>
      <c r="G25" s="8">
        <v>100</v>
      </c>
      <c r="H25" s="8">
        <f t="shared" si="5"/>
        <v>100</v>
      </c>
      <c r="I25" s="8">
        <v>0</v>
      </c>
      <c r="J25" s="8">
        <f t="shared" si="6"/>
        <v>30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2"/>
        <v>70</v>
      </c>
      <c r="Q25" s="14">
        <v>100</v>
      </c>
      <c r="R25" s="14">
        <v>1</v>
      </c>
      <c r="S25" s="14">
        <v>0</v>
      </c>
      <c r="T25" s="14">
        <f t="shared" si="8"/>
        <v>14</v>
      </c>
      <c r="U25" s="10">
        <f t="shared" si="3"/>
        <v>145</v>
      </c>
    </row>
    <row r="26" ht="15" spans="1:21">
      <c r="A26" s="10" t="s">
        <v>124</v>
      </c>
      <c r="B26" s="11">
        <f t="shared" si="0"/>
        <v>50</v>
      </c>
      <c r="C26" s="11">
        <f t="shared" si="12"/>
        <v>40</v>
      </c>
      <c r="D26" s="11">
        <v>250</v>
      </c>
      <c r="E26" s="11">
        <v>0</v>
      </c>
      <c r="F26" s="8">
        <v>0</v>
      </c>
      <c r="G26" s="8">
        <v>100</v>
      </c>
      <c r="H26" s="8">
        <f t="shared" si="5"/>
        <v>100</v>
      </c>
      <c r="I26" s="8">
        <v>0</v>
      </c>
      <c r="J26" s="8">
        <f t="shared" si="6"/>
        <v>45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2"/>
        <v>55</v>
      </c>
      <c r="Q26" s="14">
        <v>100</v>
      </c>
      <c r="R26" s="14">
        <v>1</v>
      </c>
      <c r="S26" s="14">
        <v>0</v>
      </c>
      <c r="T26" s="14">
        <f t="shared" si="8"/>
        <v>0</v>
      </c>
      <c r="U26" s="10">
        <f t="shared" si="3"/>
        <v>67.5</v>
      </c>
    </row>
  </sheetData>
  <mergeCells count="14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A5:A6"/>
    <mergeCell ref="U5:U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zoomScale="90" zoomScaleNormal="90" topLeftCell="C1" workbookViewId="0">
      <selection activeCell="L7" sqref="L7:L26"/>
    </sheetView>
  </sheetViews>
  <sheetFormatPr defaultColWidth="14" defaultRowHeight="15"/>
  <cols>
    <col min="1" max="1" width="18.1090909090909" style="1" customWidth="1"/>
    <col min="2" max="3" width="8.33636363636364" style="1" customWidth="1"/>
    <col min="4" max="7" width="6.10909090909091" style="1" customWidth="1"/>
    <col min="8" max="8" width="8.33636363636364" style="1" customWidth="1"/>
    <col min="9" max="9" width="18.1090909090909" style="1" customWidth="1"/>
    <col min="10" max="10" width="10.6636363636364" style="1" customWidth="1"/>
    <col min="11" max="12" width="8.33636363636364" style="1" customWidth="1"/>
    <col min="13" max="16" width="6.10909090909091" style="1" customWidth="1"/>
    <col min="17" max="17" width="8.33636363636364" style="1" customWidth="1"/>
    <col min="18" max="18" width="10.6636363636364" style="1" customWidth="1"/>
    <col min="19" max="19" width="18.1090909090909" style="1" customWidth="1"/>
    <col min="20" max="21" width="10.6636363636364" style="1" customWidth="1"/>
    <col min="22" max="22" width="38.1090909090909" style="1" customWidth="1"/>
    <col min="23" max="23" width="15.6636363636364" style="1" customWidth="1"/>
    <col min="24" max="16384" width="14" style="1"/>
  </cols>
  <sheetData>
    <row r="1" s="1" customForma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="1" customFormat="1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" customFormat="1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T4" s="16" t="s">
        <v>6</v>
      </c>
      <c r="U4" s="17"/>
    </row>
    <row r="5" s="1" customFormat="1" spans="1:21">
      <c r="A5" s="7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="1" customFormat="1" spans="1:21">
      <c r="A6" s="9"/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="1" customFormat="1" spans="1:21">
      <c r="A7" s="10" t="s">
        <v>125</v>
      </c>
      <c r="B7" s="11">
        <f>60+E7*10</f>
        <v>60</v>
      </c>
      <c r="C7" s="11">
        <f>15+E7*5</f>
        <v>15</v>
      </c>
      <c r="D7" s="11">
        <v>300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>(B7-L7-O7)*(G7/H7)</f>
        <v>55</v>
      </c>
      <c r="K7" s="15">
        <f>55+N7*10</f>
        <v>55</v>
      </c>
      <c r="L7" s="15">
        <f t="shared" ref="L7:L10" si="0">5+N7*5</f>
        <v>5</v>
      </c>
      <c r="M7" s="15">
        <v>150</v>
      </c>
      <c r="N7" s="15">
        <v>0</v>
      </c>
      <c r="O7" s="14">
        <v>0</v>
      </c>
      <c r="P7" s="14">
        <f t="shared" ref="P7:P26" si="1">Q7-J7</f>
        <v>45</v>
      </c>
      <c r="Q7" s="14">
        <v>100</v>
      </c>
      <c r="R7" s="14">
        <v>1</v>
      </c>
      <c r="S7" s="14">
        <v>0</v>
      </c>
      <c r="T7" s="14">
        <f>(K7-C7-F7)*(P7/Q7)</f>
        <v>18</v>
      </c>
      <c r="U7" s="10">
        <f t="shared" ref="U7:U26" si="2">(M7*(N7/3+1)*(J7*R7+S7)-(D7*(E7/3+1))*(T7+I7))/100</f>
        <v>28.5</v>
      </c>
    </row>
    <row r="8" s="1" customFormat="1" spans="1:21">
      <c r="A8" s="10" t="s">
        <v>126</v>
      </c>
      <c r="B8" s="11">
        <f t="shared" ref="B8:B26" si="3">60+E8*10</f>
        <v>60</v>
      </c>
      <c r="C8" s="11">
        <f t="shared" ref="C8:C26" si="4">15+E8*5</f>
        <v>15</v>
      </c>
      <c r="D8" s="11">
        <v>300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ref="J8:J26" si="5">(B8-L8-O8)*(G8/H8)</f>
        <v>55</v>
      </c>
      <c r="K8" s="15">
        <f t="shared" ref="K8:K13" si="6">50+N8*10</f>
        <v>50</v>
      </c>
      <c r="L8" s="15">
        <f t="shared" si="0"/>
        <v>5</v>
      </c>
      <c r="M8" s="14">
        <v>200</v>
      </c>
      <c r="N8" s="15">
        <v>0</v>
      </c>
      <c r="O8" s="14">
        <v>0</v>
      </c>
      <c r="P8" s="14">
        <f t="shared" si="1"/>
        <v>45</v>
      </c>
      <c r="Q8" s="14">
        <v>100</v>
      </c>
      <c r="R8" s="14">
        <v>1</v>
      </c>
      <c r="S8" s="14">
        <v>0</v>
      </c>
      <c r="T8" s="14">
        <f t="shared" ref="T8:T26" si="7">(K8-C8-F8)*(P8/Q8)</f>
        <v>15.75</v>
      </c>
      <c r="U8" s="10">
        <f t="shared" si="2"/>
        <v>62.75</v>
      </c>
    </row>
    <row r="9" s="1" customFormat="1" spans="1:21">
      <c r="A9" s="10" t="s">
        <v>127</v>
      </c>
      <c r="B9" s="11">
        <f t="shared" si="3"/>
        <v>60</v>
      </c>
      <c r="C9" s="11">
        <f t="shared" si="4"/>
        <v>15</v>
      </c>
      <c r="D9" s="11">
        <v>300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5"/>
        <v>60</v>
      </c>
      <c r="K9" s="15">
        <f>40+N9*10</f>
        <v>40</v>
      </c>
      <c r="L9" s="15">
        <f t="shared" ref="L9:L14" si="8">0+N9*5</f>
        <v>0</v>
      </c>
      <c r="M9" s="14">
        <v>200</v>
      </c>
      <c r="N9" s="15">
        <v>0</v>
      </c>
      <c r="O9" s="14">
        <v>0</v>
      </c>
      <c r="P9" s="14">
        <f t="shared" si="1"/>
        <v>40</v>
      </c>
      <c r="Q9" s="14">
        <v>100</v>
      </c>
      <c r="R9" s="14">
        <v>1</v>
      </c>
      <c r="S9" s="14">
        <v>0</v>
      </c>
      <c r="T9" s="14">
        <f t="shared" si="7"/>
        <v>10</v>
      </c>
      <c r="U9" s="10">
        <f t="shared" si="2"/>
        <v>90</v>
      </c>
    </row>
    <row r="10" s="1" customFormat="1" spans="1:21">
      <c r="A10" s="10" t="s">
        <v>128</v>
      </c>
      <c r="B10" s="11">
        <f t="shared" si="3"/>
        <v>60</v>
      </c>
      <c r="C10" s="11">
        <f t="shared" si="4"/>
        <v>15</v>
      </c>
      <c r="D10" s="11">
        <v>300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5"/>
        <v>55</v>
      </c>
      <c r="K10" s="15">
        <f>45+N10*10</f>
        <v>45</v>
      </c>
      <c r="L10" s="15">
        <f t="shared" si="0"/>
        <v>5</v>
      </c>
      <c r="M10" s="14">
        <v>250</v>
      </c>
      <c r="N10" s="15">
        <v>0</v>
      </c>
      <c r="O10" s="14">
        <v>0</v>
      </c>
      <c r="P10" s="14">
        <f t="shared" si="1"/>
        <v>45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2"/>
        <v>137.5</v>
      </c>
    </row>
    <row r="11" s="1" customFormat="1" spans="1:21">
      <c r="A11" s="10" t="s">
        <v>129</v>
      </c>
      <c r="B11" s="11">
        <f t="shared" si="3"/>
        <v>60</v>
      </c>
      <c r="C11" s="11">
        <f t="shared" si="4"/>
        <v>15</v>
      </c>
      <c r="D11" s="11">
        <v>300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5"/>
        <v>20</v>
      </c>
      <c r="K11" s="15">
        <f t="shared" si="6"/>
        <v>50</v>
      </c>
      <c r="L11" s="15">
        <f>40+N11*5</f>
        <v>40</v>
      </c>
      <c r="M11" s="14">
        <v>250</v>
      </c>
      <c r="N11" s="15">
        <v>0</v>
      </c>
      <c r="O11" s="14">
        <v>0</v>
      </c>
      <c r="P11" s="14">
        <f t="shared" si="1"/>
        <v>80</v>
      </c>
      <c r="Q11" s="14">
        <f>100+N11*5</f>
        <v>100</v>
      </c>
      <c r="R11" s="14">
        <v>1</v>
      </c>
      <c r="S11" s="14">
        <v>0</v>
      </c>
      <c r="T11" s="14">
        <f t="shared" si="7"/>
        <v>28</v>
      </c>
      <c r="U11" s="10">
        <f t="shared" si="2"/>
        <v>-34</v>
      </c>
    </row>
    <row r="12" s="1" customFormat="1" spans="1:21">
      <c r="A12" s="10" t="s">
        <v>130</v>
      </c>
      <c r="B12" s="11">
        <f t="shared" si="3"/>
        <v>60</v>
      </c>
      <c r="C12" s="11">
        <f t="shared" si="4"/>
        <v>15</v>
      </c>
      <c r="D12" s="11">
        <v>300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5"/>
        <v>45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1"/>
        <v>55</v>
      </c>
      <c r="Q12" s="14">
        <v>100</v>
      </c>
      <c r="R12" s="14">
        <v>1</v>
      </c>
      <c r="S12" s="14">
        <v>0</v>
      </c>
      <c r="T12" s="14">
        <f t="shared" si="7"/>
        <v>24.75</v>
      </c>
      <c r="U12" s="10">
        <f t="shared" si="2"/>
        <v>60.75</v>
      </c>
    </row>
    <row r="13" s="1" customFormat="1" spans="1:21">
      <c r="A13" s="10" t="s">
        <v>131</v>
      </c>
      <c r="B13" s="11">
        <f t="shared" si="3"/>
        <v>60</v>
      </c>
      <c r="C13" s="11">
        <f t="shared" si="4"/>
        <v>15</v>
      </c>
      <c r="D13" s="11">
        <v>300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5"/>
        <v>60</v>
      </c>
      <c r="K13" s="15">
        <f t="shared" si="6"/>
        <v>50</v>
      </c>
      <c r="L13" s="15">
        <f t="shared" si="8"/>
        <v>0</v>
      </c>
      <c r="M13" s="14">
        <v>300</v>
      </c>
      <c r="N13" s="15">
        <v>0</v>
      </c>
      <c r="O13" s="14">
        <v>0</v>
      </c>
      <c r="P13" s="14">
        <f t="shared" si="1"/>
        <v>40</v>
      </c>
      <c r="Q13" s="14">
        <v>100</v>
      </c>
      <c r="R13" s="14">
        <v>1</v>
      </c>
      <c r="S13" s="14">
        <v>0</v>
      </c>
      <c r="T13" s="14">
        <f t="shared" si="7"/>
        <v>14</v>
      </c>
      <c r="U13" s="10">
        <f t="shared" si="2"/>
        <v>138</v>
      </c>
    </row>
    <row r="14" s="1" customFormat="1" spans="1:21">
      <c r="A14" s="10" t="s">
        <v>132</v>
      </c>
      <c r="B14" s="11">
        <f t="shared" si="3"/>
        <v>60</v>
      </c>
      <c r="C14" s="11">
        <f t="shared" si="4"/>
        <v>15</v>
      </c>
      <c r="D14" s="11">
        <v>300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5"/>
        <v>60</v>
      </c>
      <c r="K14" s="15">
        <f>45+N14*5</f>
        <v>45</v>
      </c>
      <c r="L14" s="15">
        <f t="shared" si="8"/>
        <v>0</v>
      </c>
      <c r="M14" s="14">
        <v>400</v>
      </c>
      <c r="N14" s="15">
        <v>0</v>
      </c>
      <c r="O14" s="14">
        <v>0</v>
      </c>
      <c r="P14" s="14">
        <f t="shared" si="1"/>
        <v>40</v>
      </c>
      <c r="Q14" s="14">
        <v>100</v>
      </c>
      <c r="R14" s="14">
        <v>1</v>
      </c>
      <c r="S14" s="14">
        <v>0</v>
      </c>
      <c r="T14" s="14">
        <f t="shared" si="7"/>
        <v>12</v>
      </c>
      <c r="U14" s="10">
        <f t="shared" si="2"/>
        <v>204</v>
      </c>
    </row>
    <row r="15" s="1" customFormat="1" spans="1:21">
      <c r="A15" s="10" t="s">
        <v>133</v>
      </c>
      <c r="B15" s="11">
        <f t="shared" si="3"/>
        <v>60</v>
      </c>
      <c r="C15" s="11">
        <f t="shared" si="4"/>
        <v>15</v>
      </c>
      <c r="D15" s="11">
        <v>300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5"/>
        <v>50</v>
      </c>
      <c r="K15" s="15">
        <f>50+N15*5</f>
        <v>50</v>
      </c>
      <c r="L15" s="15">
        <f>10+N15*5</f>
        <v>10</v>
      </c>
      <c r="M15" s="14">
        <v>400</v>
      </c>
      <c r="N15" s="15">
        <v>0</v>
      </c>
      <c r="O15" s="14">
        <v>0</v>
      </c>
      <c r="P15" s="14">
        <f t="shared" si="1"/>
        <v>50</v>
      </c>
      <c r="Q15" s="14">
        <v>100</v>
      </c>
      <c r="R15" s="14">
        <v>1</v>
      </c>
      <c r="S15" s="14">
        <v>0</v>
      </c>
      <c r="T15" s="14">
        <f t="shared" si="7"/>
        <v>17.5</v>
      </c>
      <c r="U15" s="10">
        <f t="shared" si="2"/>
        <v>147.5</v>
      </c>
    </row>
    <row r="16" s="1" customFormat="1" spans="1:21">
      <c r="A16" s="10" t="s">
        <v>134</v>
      </c>
      <c r="B16" s="11">
        <f t="shared" si="3"/>
        <v>60</v>
      </c>
      <c r="C16" s="11">
        <f t="shared" si="4"/>
        <v>15</v>
      </c>
      <c r="D16" s="11">
        <v>300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5"/>
        <v>40</v>
      </c>
      <c r="K16" s="15">
        <f>55+N16*5</f>
        <v>55</v>
      </c>
      <c r="L16" s="15">
        <f t="shared" ref="L16:L18" si="9">20+N16*5</f>
        <v>20</v>
      </c>
      <c r="M16" s="14">
        <v>500</v>
      </c>
      <c r="N16" s="15">
        <v>0</v>
      </c>
      <c r="O16" s="14">
        <v>0</v>
      </c>
      <c r="P16" s="14">
        <f t="shared" si="1"/>
        <v>60</v>
      </c>
      <c r="Q16" s="14">
        <v>100</v>
      </c>
      <c r="R16" s="14">
        <v>1</v>
      </c>
      <c r="S16" s="14">
        <v>0</v>
      </c>
      <c r="T16" s="14">
        <f t="shared" si="7"/>
        <v>24</v>
      </c>
      <c r="U16" s="10">
        <f t="shared" si="2"/>
        <v>128</v>
      </c>
    </row>
    <row r="17" s="1" customFormat="1" spans="1:21">
      <c r="A17" s="10" t="s">
        <v>135</v>
      </c>
      <c r="B17" s="11">
        <f t="shared" si="3"/>
        <v>60</v>
      </c>
      <c r="C17" s="11">
        <f t="shared" si="4"/>
        <v>15</v>
      </c>
      <c r="D17" s="11">
        <v>300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5"/>
        <v>40</v>
      </c>
      <c r="K17" s="14">
        <f>70+N17*10</f>
        <v>70</v>
      </c>
      <c r="L17" s="14">
        <f t="shared" si="9"/>
        <v>20</v>
      </c>
      <c r="M17" s="14">
        <v>500</v>
      </c>
      <c r="N17" s="14">
        <v>0</v>
      </c>
      <c r="O17" s="14">
        <v>0</v>
      </c>
      <c r="P17" s="14">
        <f t="shared" si="1"/>
        <v>60</v>
      </c>
      <c r="Q17" s="14">
        <v>100</v>
      </c>
      <c r="R17" s="14">
        <v>1</v>
      </c>
      <c r="S17" s="14">
        <v>0</v>
      </c>
      <c r="T17" s="14">
        <f>(K17-C17-F17)*1</f>
        <v>55</v>
      </c>
      <c r="U17" s="10">
        <f t="shared" si="2"/>
        <v>35</v>
      </c>
    </row>
    <row r="18" s="1" customFormat="1" spans="1:21">
      <c r="A18" s="10" t="s">
        <v>136</v>
      </c>
      <c r="B18" s="11">
        <f t="shared" si="3"/>
        <v>60</v>
      </c>
      <c r="C18" s="11">
        <f t="shared" si="4"/>
        <v>15</v>
      </c>
      <c r="D18" s="11">
        <v>300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5"/>
        <v>40</v>
      </c>
      <c r="K18" s="14">
        <f>75+N18*10</f>
        <v>75</v>
      </c>
      <c r="L18" s="14">
        <f t="shared" si="9"/>
        <v>20</v>
      </c>
      <c r="M18" s="14">
        <v>600</v>
      </c>
      <c r="N18" s="15">
        <v>0</v>
      </c>
      <c r="O18" s="14">
        <v>0</v>
      </c>
      <c r="P18" s="14">
        <f t="shared" si="1"/>
        <v>60</v>
      </c>
      <c r="Q18" s="14">
        <v>100</v>
      </c>
      <c r="R18" s="14">
        <v>1</v>
      </c>
      <c r="S18" s="14">
        <v>0</v>
      </c>
      <c r="T18" s="14">
        <f t="shared" si="7"/>
        <v>36</v>
      </c>
      <c r="U18" s="10">
        <f t="shared" si="2"/>
        <v>132</v>
      </c>
    </row>
    <row r="19" s="1" customFormat="1" spans="1:21">
      <c r="A19" s="10" t="s">
        <v>137</v>
      </c>
      <c r="B19" s="11">
        <f t="shared" si="3"/>
        <v>60</v>
      </c>
      <c r="C19" s="11">
        <f t="shared" si="4"/>
        <v>15</v>
      </c>
      <c r="D19" s="11">
        <v>300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5"/>
        <v>30</v>
      </c>
      <c r="K19" s="14">
        <f>55+N19*5</f>
        <v>55</v>
      </c>
      <c r="L19" s="14">
        <f>30+N19*5</f>
        <v>30</v>
      </c>
      <c r="M19" s="14">
        <v>600</v>
      </c>
      <c r="N19" s="14">
        <v>0</v>
      </c>
      <c r="O19" s="14">
        <v>0</v>
      </c>
      <c r="P19" s="14">
        <f t="shared" si="1"/>
        <v>70</v>
      </c>
      <c r="Q19" s="14">
        <f>100+N19*25</f>
        <v>100</v>
      </c>
      <c r="R19" s="14">
        <v>1</v>
      </c>
      <c r="S19" s="14">
        <v>0</v>
      </c>
      <c r="T19" s="14">
        <f t="shared" si="7"/>
        <v>28</v>
      </c>
      <c r="U19" s="10">
        <f t="shared" si="2"/>
        <v>96</v>
      </c>
    </row>
    <row r="20" s="1" customFormat="1" spans="1:21">
      <c r="A20" s="10" t="s">
        <v>138</v>
      </c>
      <c r="B20" s="11">
        <f t="shared" si="3"/>
        <v>60</v>
      </c>
      <c r="C20" s="11">
        <f t="shared" si="4"/>
        <v>15</v>
      </c>
      <c r="D20" s="11">
        <v>300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5"/>
        <v>50</v>
      </c>
      <c r="K20" s="14">
        <f>55+N20*10</f>
        <v>55</v>
      </c>
      <c r="L20" s="14">
        <f>10+N20*5</f>
        <v>10</v>
      </c>
      <c r="M20" s="14">
        <v>600</v>
      </c>
      <c r="N20" s="15">
        <v>0</v>
      </c>
      <c r="O20" s="14">
        <v>0</v>
      </c>
      <c r="P20" s="14">
        <f t="shared" si="1"/>
        <v>50</v>
      </c>
      <c r="Q20" s="14">
        <f>100+N20*10</f>
        <v>100</v>
      </c>
      <c r="R20" s="14">
        <v>1</v>
      </c>
      <c r="S20" s="14">
        <v>0</v>
      </c>
      <c r="T20" s="14">
        <f t="shared" si="7"/>
        <v>20</v>
      </c>
      <c r="U20" s="10">
        <f t="shared" si="2"/>
        <v>240</v>
      </c>
    </row>
    <row r="21" s="1" customFormat="1" spans="1:21">
      <c r="A21" s="10" t="s">
        <v>139</v>
      </c>
      <c r="B21" s="11">
        <f t="shared" si="3"/>
        <v>60</v>
      </c>
      <c r="C21" s="11">
        <f t="shared" si="4"/>
        <v>15</v>
      </c>
      <c r="D21" s="11">
        <v>300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5"/>
        <v>60</v>
      </c>
      <c r="K21" s="14">
        <f>40+N21*5</f>
        <v>40</v>
      </c>
      <c r="L21" s="14">
        <f>0+N21*5</f>
        <v>0</v>
      </c>
      <c r="M21" s="14">
        <v>600</v>
      </c>
      <c r="N21" s="14">
        <v>0</v>
      </c>
      <c r="O21" s="14">
        <v>0</v>
      </c>
      <c r="P21" s="14">
        <f t="shared" si="1"/>
        <v>40</v>
      </c>
      <c r="Q21" s="14">
        <v>100</v>
      </c>
      <c r="R21" s="14">
        <v>1</v>
      </c>
      <c r="S21" s="14">
        <v>0</v>
      </c>
      <c r="T21" s="14">
        <f t="shared" si="7"/>
        <v>10</v>
      </c>
      <c r="U21" s="10">
        <f t="shared" si="2"/>
        <v>330</v>
      </c>
    </row>
    <row r="22" s="1" customFormat="1" spans="1:21">
      <c r="A22" s="10" t="s">
        <v>140</v>
      </c>
      <c r="B22" s="11">
        <f t="shared" si="3"/>
        <v>60</v>
      </c>
      <c r="C22" s="11">
        <f t="shared" si="4"/>
        <v>15</v>
      </c>
      <c r="D22" s="11">
        <v>300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5"/>
        <v>55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1"/>
        <v>45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2"/>
        <v>440</v>
      </c>
    </row>
    <row r="23" s="1" customFormat="1" spans="1:21">
      <c r="A23" s="10" t="s">
        <v>141</v>
      </c>
      <c r="B23" s="11">
        <f t="shared" si="3"/>
        <v>60</v>
      </c>
      <c r="C23" s="11">
        <f t="shared" si="4"/>
        <v>15</v>
      </c>
      <c r="D23" s="11">
        <v>300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5"/>
        <v>40</v>
      </c>
      <c r="K23" s="14">
        <f>60+N23*10</f>
        <v>60</v>
      </c>
      <c r="L23" s="14">
        <f>20+N23*5</f>
        <v>20</v>
      </c>
      <c r="M23" s="14">
        <v>800</v>
      </c>
      <c r="N23" s="14">
        <v>0</v>
      </c>
      <c r="O23" s="14">
        <v>0</v>
      </c>
      <c r="P23" s="14">
        <f t="shared" si="1"/>
        <v>60</v>
      </c>
      <c r="Q23" s="14">
        <v>100</v>
      </c>
      <c r="R23" s="14">
        <v>1</v>
      </c>
      <c r="S23" s="14">
        <v>0</v>
      </c>
      <c r="T23" s="14">
        <f t="shared" si="7"/>
        <v>27</v>
      </c>
      <c r="U23" s="10">
        <f t="shared" si="2"/>
        <v>239</v>
      </c>
    </row>
    <row r="24" s="1" customFormat="1" spans="1:21">
      <c r="A24" s="10" t="s">
        <v>142</v>
      </c>
      <c r="B24" s="11">
        <f t="shared" si="3"/>
        <v>60</v>
      </c>
      <c r="C24" s="11">
        <f t="shared" si="4"/>
        <v>15</v>
      </c>
      <c r="D24" s="11">
        <v>300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5"/>
        <v>35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1"/>
        <v>65</v>
      </c>
      <c r="Q24" s="14">
        <v>100</v>
      </c>
      <c r="R24" s="14">
        <v>1</v>
      </c>
      <c r="S24" s="14">
        <v>0</v>
      </c>
      <c r="T24" s="14">
        <f>(K24-C24-F24)*(P24/Q24)*1.5</f>
        <v>53.625</v>
      </c>
      <c r="U24" s="10">
        <f t="shared" si="2"/>
        <v>189.125</v>
      </c>
    </row>
    <row r="25" s="1" customFormat="1" spans="1:21">
      <c r="A25" s="10" t="s">
        <v>143</v>
      </c>
      <c r="B25" s="11">
        <f t="shared" si="3"/>
        <v>60</v>
      </c>
      <c r="C25" s="11">
        <f t="shared" si="4"/>
        <v>15</v>
      </c>
      <c r="D25" s="11">
        <v>300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5"/>
        <v>40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1"/>
        <v>60</v>
      </c>
      <c r="Q25" s="14">
        <v>100</v>
      </c>
      <c r="R25" s="14">
        <v>1</v>
      </c>
      <c r="S25" s="14">
        <v>0</v>
      </c>
      <c r="T25" s="14">
        <f t="shared" si="7"/>
        <v>27</v>
      </c>
      <c r="U25" s="10">
        <f t="shared" si="2"/>
        <v>159</v>
      </c>
    </row>
    <row r="26" s="1" customFormat="1" spans="1:21">
      <c r="A26" s="10" t="s">
        <v>144</v>
      </c>
      <c r="B26" s="11">
        <f t="shared" si="3"/>
        <v>60</v>
      </c>
      <c r="C26" s="11">
        <f t="shared" si="4"/>
        <v>15</v>
      </c>
      <c r="D26" s="11">
        <v>300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5"/>
        <v>55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1"/>
        <v>45</v>
      </c>
      <c r="Q26" s="14">
        <v>100</v>
      </c>
      <c r="R26" s="14">
        <v>1</v>
      </c>
      <c r="S26" s="14">
        <v>0</v>
      </c>
      <c r="T26" s="14">
        <f t="shared" si="7"/>
        <v>11.25</v>
      </c>
      <c r="U26" s="10">
        <f t="shared" si="2"/>
        <v>48.75</v>
      </c>
    </row>
  </sheetData>
  <mergeCells count="14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A5:A6"/>
    <mergeCell ref="U5:U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zoomScale="90" zoomScaleNormal="90" topLeftCell="A4" workbookViewId="0">
      <selection activeCell="E38" sqref="E38"/>
    </sheetView>
  </sheetViews>
  <sheetFormatPr defaultColWidth="8.89090909090909" defaultRowHeight="15"/>
  <cols>
    <col min="1" max="1" width="15.6636363636364" style="19" customWidth="1"/>
    <col min="2" max="3" width="8.33636363636364" style="19" customWidth="1"/>
    <col min="4" max="7" width="6.10909090909091" style="19" customWidth="1"/>
    <col min="8" max="8" width="8.33636363636364" style="19" customWidth="1"/>
    <col min="9" max="9" width="18.1090909090909" style="19" customWidth="1"/>
    <col min="10" max="10" width="10.6636363636364" style="19" customWidth="1"/>
    <col min="11" max="12" width="8.33636363636364" style="19" customWidth="1"/>
    <col min="13" max="16" width="6.10909090909091" style="19" customWidth="1"/>
    <col min="17" max="17" width="8.33636363636364" style="19" customWidth="1"/>
    <col min="18" max="18" width="10.6636363636364" style="19" customWidth="1"/>
    <col min="19" max="19" width="18.1090909090909" style="19" customWidth="1"/>
    <col min="20" max="21" width="10.6636363636364" style="19" customWidth="1"/>
    <col min="22" max="16384" width="8.89090909090909" style="19"/>
  </cols>
  <sheetData>
    <row r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S4" s="1"/>
      <c r="T4" s="16" t="s">
        <v>6</v>
      </c>
      <c r="U4" s="17"/>
    </row>
    <row r="5" spans="1:21">
      <c r="A5" s="10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pans="1:21">
      <c r="A6" s="10" t="s">
        <v>62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pans="1:21">
      <c r="A7" s="10" t="s">
        <v>145</v>
      </c>
      <c r="B7" s="11">
        <f>50+E7*10</f>
        <v>50</v>
      </c>
      <c r="C7" s="11">
        <f t="shared" ref="C7:C10" si="0">0+E7*5</f>
        <v>0</v>
      </c>
      <c r="D7" s="11">
        <v>300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 t="shared" ref="J7:J26" si="1">(B7-L7)*(G7/H7)</f>
        <v>45</v>
      </c>
      <c r="K7" s="15">
        <f>55+N7*10</f>
        <v>55</v>
      </c>
      <c r="L7" s="15">
        <f>5+N7*5</f>
        <v>5</v>
      </c>
      <c r="M7" s="15">
        <v>150</v>
      </c>
      <c r="N7" s="15">
        <v>0</v>
      </c>
      <c r="O7" s="14">
        <v>0</v>
      </c>
      <c r="P7" s="14">
        <f t="shared" ref="P7:P26" si="2">Q7-J7</f>
        <v>55</v>
      </c>
      <c r="Q7" s="14">
        <v>100</v>
      </c>
      <c r="R7" s="14">
        <v>1</v>
      </c>
      <c r="S7" s="14">
        <v>0</v>
      </c>
      <c r="T7" s="14">
        <v>0</v>
      </c>
      <c r="U7" s="10">
        <f t="shared" ref="U7:U26" si="3">(M7*(N7/3+1)*(J7*R7+S7)-(D7*(E7/3+1))*(T7+I7))/100</f>
        <v>67.5</v>
      </c>
    </row>
    <row r="8" spans="1:21">
      <c r="A8" s="10" t="s">
        <v>146</v>
      </c>
      <c r="B8" s="11">
        <f t="shared" ref="B8:B26" si="4">50+E8*10</f>
        <v>50</v>
      </c>
      <c r="C8" s="11">
        <f t="shared" ref="C8:C14" si="5">20+E8*5</f>
        <v>20</v>
      </c>
      <c r="D8" s="11">
        <v>300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si="1"/>
        <v>35</v>
      </c>
      <c r="K8" s="15">
        <f t="shared" ref="K8:K13" si="6">50+N8*10</f>
        <v>50</v>
      </c>
      <c r="L8" s="15">
        <f>15+N8*5</f>
        <v>15</v>
      </c>
      <c r="M8" s="14">
        <v>200</v>
      </c>
      <c r="N8" s="15">
        <v>0</v>
      </c>
      <c r="O8" s="14">
        <v>0</v>
      </c>
      <c r="P8" s="14">
        <f t="shared" si="2"/>
        <v>65</v>
      </c>
      <c r="Q8" s="14">
        <v>100</v>
      </c>
      <c r="R8" s="14">
        <v>1</v>
      </c>
      <c r="S8" s="14">
        <v>0</v>
      </c>
      <c r="T8" s="14">
        <v>0</v>
      </c>
      <c r="U8" s="10">
        <f t="shared" si="3"/>
        <v>70</v>
      </c>
    </row>
    <row r="9" spans="1:21">
      <c r="A9" s="10" t="s">
        <v>147</v>
      </c>
      <c r="B9" s="11">
        <f t="shared" si="4"/>
        <v>50</v>
      </c>
      <c r="C9" s="11">
        <f t="shared" si="0"/>
        <v>0</v>
      </c>
      <c r="D9" s="11">
        <v>300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1"/>
        <v>50</v>
      </c>
      <c r="K9" s="15">
        <f>40+N9*10</f>
        <v>40</v>
      </c>
      <c r="L9" s="15">
        <f>0+N9*5</f>
        <v>0</v>
      </c>
      <c r="M9" s="14">
        <v>200</v>
      </c>
      <c r="N9" s="15">
        <v>0</v>
      </c>
      <c r="O9" s="14">
        <v>0</v>
      </c>
      <c r="P9" s="14">
        <f t="shared" si="2"/>
        <v>50</v>
      </c>
      <c r="Q9" s="14">
        <v>100</v>
      </c>
      <c r="R9" s="14">
        <v>1</v>
      </c>
      <c r="S9" s="14">
        <v>0</v>
      </c>
      <c r="T9" s="14">
        <v>0</v>
      </c>
      <c r="U9" s="10">
        <f t="shared" si="3"/>
        <v>100</v>
      </c>
    </row>
    <row r="10" spans="1:21">
      <c r="A10" s="10" t="s">
        <v>148</v>
      </c>
      <c r="B10" s="11">
        <f t="shared" si="4"/>
        <v>50</v>
      </c>
      <c r="C10" s="11">
        <f t="shared" si="0"/>
        <v>0</v>
      </c>
      <c r="D10" s="11">
        <v>300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1"/>
        <v>45</v>
      </c>
      <c r="K10" s="15">
        <f>45+N10*10</f>
        <v>45</v>
      </c>
      <c r="L10" s="15">
        <f>5+N10*5</f>
        <v>5</v>
      </c>
      <c r="M10" s="14">
        <v>250</v>
      </c>
      <c r="N10" s="15">
        <v>0</v>
      </c>
      <c r="O10" s="14">
        <v>0</v>
      </c>
      <c r="P10" s="14">
        <f t="shared" si="2"/>
        <v>55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3"/>
        <v>112.5</v>
      </c>
    </row>
    <row r="11" spans="1:21">
      <c r="A11" s="10" t="s">
        <v>149</v>
      </c>
      <c r="B11" s="11">
        <f t="shared" si="4"/>
        <v>50</v>
      </c>
      <c r="C11" s="11">
        <f t="shared" si="5"/>
        <v>20</v>
      </c>
      <c r="D11" s="11">
        <v>300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1"/>
        <v>60</v>
      </c>
      <c r="K11" s="15">
        <f t="shared" si="6"/>
        <v>50</v>
      </c>
      <c r="L11" s="15">
        <f>-10+N11*5</f>
        <v>-10</v>
      </c>
      <c r="M11" s="14">
        <v>250</v>
      </c>
      <c r="N11" s="15">
        <v>0</v>
      </c>
      <c r="O11" s="14">
        <v>0</v>
      </c>
      <c r="P11" s="14">
        <f t="shared" si="2"/>
        <v>40</v>
      </c>
      <c r="Q11" s="14">
        <f>100+N11*5</f>
        <v>100</v>
      </c>
      <c r="R11" s="14">
        <v>1</v>
      </c>
      <c r="S11" s="14">
        <v>0</v>
      </c>
      <c r="T11" s="14">
        <v>0</v>
      </c>
      <c r="U11" s="10">
        <f t="shared" si="3"/>
        <v>150</v>
      </c>
    </row>
    <row r="12" spans="1:21">
      <c r="A12" s="10" t="s">
        <v>150</v>
      </c>
      <c r="B12" s="11">
        <f t="shared" si="4"/>
        <v>50</v>
      </c>
      <c r="C12" s="11">
        <f t="shared" ref="C12:C19" si="7">0+E12*5</f>
        <v>0</v>
      </c>
      <c r="D12" s="11">
        <v>300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1"/>
        <v>35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2"/>
        <v>65</v>
      </c>
      <c r="Q12" s="14">
        <v>100</v>
      </c>
      <c r="R12" s="14">
        <v>1</v>
      </c>
      <c r="S12" s="14">
        <v>0</v>
      </c>
      <c r="T12" s="14">
        <v>0</v>
      </c>
      <c r="U12" s="10">
        <f t="shared" si="3"/>
        <v>105</v>
      </c>
    </row>
    <row r="13" spans="1:21">
      <c r="A13" s="10" t="s">
        <v>151</v>
      </c>
      <c r="B13" s="11">
        <f t="shared" si="4"/>
        <v>50</v>
      </c>
      <c r="C13" s="11">
        <f t="shared" si="5"/>
        <v>20</v>
      </c>
      <c r="D13" s="11">
        <v>300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1"/>
        <v>30</v>
      </c>
      <c r="K13" s="15">
        <f t="shared" si="6"/>
        <v>50</v>
      </c>
      <c r="L13" s="15">
        <f>20+N13*5</f>
        <v>20</v>
      </c>
      <c r="M13" s="14">
        <v>300</v>
      </c>
      <c r="N13" s="15">
        <v>0</v>
      </c>
      <c r="O13" s="14">
        <v>0</v>
      </c>
      <c r="P13" s="14">
        <f t="shared" si="2"/>
        <v>70</v>
      </c>
      <c r="Q13" s="14">
        <v>100</v>
      </c>
      <c r="R13" s="14">
        <v>1</v>
      </c>
      <c r="S13" s="14">
        <v>0</v>
      </c>
      <c r="T13" s="14">
        <f>(K13-C13)*(P13/Q13)</f>
        <v>21</v>
      </c>
      <c r="U13" s="10">
        <f t="shared" si="3"/>
        <v>27</v>
      </c>
    </row>
    <row r="14" spans="1:21">
      <c r="A14" s="10" t="s">
        <v>152</v>
      </c>
      <c r="B14" s="11">
        <f t="shared" si="4"/>
        <v>50</v>
      </c>
      <c r="C14" s="11">
        <f t="shared" si="5"/>
        <v>20</v>
      </c>
      <c r="D14" s="11">
        <v>300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1"/>
        <v>10</v>
      </c>
      <c r="K14" s="15">
        <f>45+N14*5</f>
        <v>45</v>
      </c>
      <c r="L14" s="15">
        <f>40+N14*5</f>
        <v>40</v>
      </c>
      <c r="M14" s="14">
        <v>400</v>
      </c>
      <c r="N14" s="15">
        <v>0</v>
      </c>
      <c r="O14" s="14">
        <v>0</v>
      </c>
      <c r="P14" s="14">
        <f t="shared" si="2"/>
        <v>90</v>
      </c>
      <c r="Q14" s="14">
        <v>100</v>
      </c>
      <c r="R14" s="14">
        <v>1</v>
      </c>
      <c r="S14" s="14">
        <v>0</v>
      </c>
      <c r="T14" s="14">
        <v>0</v>
      </c>
      <c r="U14" s="10">
        <f t="shared" si="3"/>
        <v>40</v>
      </c>
    </row>
    <row r="15" spans="1:21">
      <c r="A15" s="10" t="s">
        <v>153</v>
      </c>
      <c r="B15" s="11">
        <f t="shared" si="4"/>
        <v>50</v>
      </c>
      <c r="C15" s="11">
        <f t="shared" si="7"/>
        <v>0</v>
      </c>
      <c r="D15" s="11">
        <v>300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1"/>
        <v>40</v>
      </c>
      <c r="K15" s="15">
        <f>50+N15*5</f>
        <v>50</v>
      </c>
      <c r="L15" s="15">
        <f t="shared" ref="L15:L19" si="8">10+N15*5</f>
        <v>10</v>
      </c>
      <c r="M15" s="14">
        <v>400</v>
      </c>
      <c r="N15" s="15">
        <v>0</v>
      </c>
      <c r="O15" s="14">
        <v>0</v>
      </c>
      <c r="P15" s="14">
        <f t="shared" si="2"/>
        <v>60</v>
      </c>
      <c r="Q15" s="14">
        <v>100</v>
      </c>
      <c r="R15" s="14">
        <v>1</v>
      </c>
      <c r="S15" s="14">
        <v>0</v>
      </c>
      <c r="T15" s="14">
        <v>0</v>
      </c>
      <c r="U15" s="10">
        <f t="shared" si="3"/>
        <v>160</v>
      </c>
    </row>
    <row r="16" spans="1:21">
      <c r="A16" s="10" t="s">
        <v>154</v>
      </c>
      <c r="B16" s="11">
        <f t="shared" si="4"/>
        <v>50</v>
      </c>
      <c r="C16" s="11">
        <f t="shared" ref="C16:C21" si="9">20+E16*5</f>
        <v>20</v>
      </c>
      <c r="D16" s="11">
        <v>300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1"/>
        <v>20</v>
      </c>
      <c r="K16" s="15">
        <f>55+N16*5</f>
        <v>55</v>
      </c>
      <c r="L16" s="15">
        <f>30+N16*5</f>
        <v>30</v>
      </c>
      <c r="M16" s="14">
        <v>500</v>
      </c>
      <c r="N16" s="15">
        <v>0</v>
      </c>
      <c r="O16" s="14">
        <v>0</v>
      </c>
      <c r="P16" s="14">
        <f t="shared" si="2"/>
        <v>80</v>
      </c>
      <c r="Q16" s="14">
        <v>100</v>
      </c>
      <c r="R16" s="14">
        <v>1</v>
      </c>
      <c r="S16" s="14">
        <v>0</v>
      </c>
      <c r="T16" s="14">
        <v>0</v>
      </c>
      <c r="U16" s="10">
        <f t="shared" si="3"/>
        <v>100</v>
      </c>
    </row>
    <row r="17" spans="1:21">
      <c r="A17" s="10" t="s">
        <v>155</v>
      </c>
      <c r="B17" s="11">
        <f t="shared" si="4"/>
        <v>50</v>
      </c>
      <c r="C17" s="11">
        <f t="shared" si="7"/>
        <v>0</v>
      </c>
      <c r="D17" s="11">
        <v>300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1"/>
        <v>40</v>
      </c>
      <c r="K17" s="14">
        <f>70+N17*10</f>
        <v>70</v>
      </c>
      <c r="L17" s="14">
        <f t="shared" si="8"/>
        <v>10</v>
      </c>
      <c r="M17" s="14">
        <v>500</v>
      </c>
      <c r="N17" s="14">
        <v>0</v>
      </c>
      <c r="O17" s="14">
        <v>0</v>
      </c>
      <c r="P17" s="14">
        <f t="shared" si="2"/>
        <v>60</v>
      </c>
      <c r="Q17" s="14">
        <v>100</v>
      </c>
      <c r="R17" s="14">
        <v>1</v>
      </c>
      <c r="S17" s="14">
        <v>0</v>
      </c>
      <c r="T17" s="14">
        <f>(K17-C17)*1</f>
        <v>70</v>
      </c>
      <c r="U17" s="10">
        <f t="shared" si="3"/>
        <v>-10</v>
      </c>
    </row>
    <row r="18" spans="1:21">
      <c r="A18" s="10" t="s">
        <v>156</v>
      </c>
      <c r="B18" s="11">
        <f t="shared" si="4"/>
        <v>50</v>
      </c>
      <c r="C18" s="11">
        <f t="shared" si="7"/>
        <v>0</v>
      </c>
      <c r="D18" s="11">
        <v>300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1"/>
        <v>40</v>
      </c>
      <c r="K18" s="14">
        <f>75+N18*10</f>
        <v>75</v>
      </c>
      <c r="L18" s="14">
        <f t="shared" si="8"/>
        <v>10</v>
      </c>
      <c r="M18" s="14">
        <v>600</v>
      </c>
      <c r="N18" s="15">
        <v>0</v>
      </c>
      <c r="O18" s="14">
        <v>0</v>
      </c>
      <c r="P18" s="14">
        <f t="shared" si="2"/>
        <v>60</v>
      </c>
      <c r="Q18" s="14">
        <v>100</v>
      </c>
      <c r="R18" s="14">
        <v>1</v>
      </c>
      <c r="S18" s="14">
        <v>0</v>
      </c>
      <c r="T18" s="14">
        <v>0</v>
      </c>
      <c r="U18" s="10">
        <f t="shared" si="3"/>
        <v>240</v>
      </c>
    </row>
    <row r="19" spans="1:21">
      <c r="A19" s="10" t="s">
        <v>157</v>
      </c>
      <c r="B19" s="11">
        <f t="shared" si="4"/>
        <v>50</v>
      </c>
      <c r="C19" s="11">
        <f t="shared" si="7"/>
        <v>0</v>
      </c>
      <c r="D19" s="11">
        <v>300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1"/>
        <v>40</v>
      </c>
      <c r="K19" s="14">
        <f>55+N19*5</f>
        <v>55</v>
      </c>
      <c r="L19" s="14">
        <f t="shared" si="8"/>
        <v>10</v>
      </c>
      <c r="M19" s="14">
        <v>600</v>
      </c>
      <c r="N19" s="14">
        <v>0</v>
      </c>
      <c r="O19" s="14">
        <v>0</v>
      </c>
      <c r="P19" s="14">
        <f t="shared" si="2"/>
        <v>60</v>
      </c>
      <c r="Q19" s="14">
        <f>100+N19*25</f>
        <v>100</v>
      </c>
      <c r="R19" s="14">
        <v>1</v>
      </c>
      <c r="S19" s="14">
        <v>0</v>
      </c>
      <c r="T19" s="14">
        <v>0</v>
      </c>
      <c r="U19" s="10">
        <f t="shared" si="3"/>
        <v>240</v>
      </c>
    </row>
    <row r="20" spans="1:21">
      <c r="A20" s="10" t="s">
        <v>158</v>
      </c>
      <c r="B20" s="11">
        <f t="shared" si="4"/>
        <v>50</v>
      </c>
      <c r="C20" s="11">
        <f t="shared" si="9"/>
        <v>20</v>
      </c>
      <c r="D20" s="11">
        <v>300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1"/>
        <v>30</v>
      </c>
      <c r="K20" s="14">
        <f>55+N20*10</f>
        <v>55</v>
      </c>
      <c r="L20" s="14">
        <f>20+N20*5</f>
        <v>20</v>
      </c>
      <c r="M20" s="14">
        <v>600</v>
      </c>
      <c r="N20" s="15">
        <v>0</v>
      </c>
      <c r="O20" s="14">
        <v>0</v>
      </c>
      <c r="P20" s="14">
        <f t="shared" si="2"/>
        <v>70</v>
      </c>
      <c r="Q20" s="14">
        <f>100+N20*10</f>
        <v>100</v>
      </c>
      <c r="R20" s="14">
        <v>1</v>
      </c>
      <c r="S20" s="14">
        <v>0</v>
      </c>
      <c r="T20" s="14">
        <v>0</v>
      </c>
      <c r="U20" s="10">
        <f t="shared" si="3"/>
        <v>180</v>
      </c>
    </row>
    <row r="21" spans="1:21">
      <c r="A21" s="10" t="s">
        <v>159</v>
      </c>
      <c r="B21" s="11">
        <f t="shared" si="4"/>
        <v>50</v>
      </c>
      <c r="C21" s="11">
        <f t="shared" si="9"/>
        <v>20</v>
      </c>
      <c r="D21" s="11">
        <v>300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1"/>
        <v>20</v>
      </c>
      <c r="K21" s="14">
        <f>40+N21*5</f>
        <v>40</v>
      </c>
      <c r="L21" s="14">
        <f>30+N21*5</f>
        <v>30</v>
      </c>
      <c r="M21" s="14">
        <v>600</v>
      </c>
      <c r="N21" s="14">
        <v>0</v>
      </c>
      <c r="O21" s="14">
        <v>0</v>
      </c>
      <c r="P21" s="14">
        <f t="shared" si="2"/>
        <v>80</v>
      </c>
      <c r="Q21" s="14">
        <v>100</v>
      </c>
      <c r="R21" s="14">
        <v>1</v>
      </c>
      <c r="S21" s="14">
        <v>0</v>
      </c>
      <c r="T21" s="14">
        <v>0</v>
      </c>
      <c r="U21" s="10">
        <f t="shared" si="3"/>
        <v>120</v>
      </c>
    </row>
    <row r="22" spans="1:21">
      <c r="A22" s="10" t="s">
        <v>160</v>
      </c>
      <c r="B22" s="11">
        <f t="shared" si="4"/>
        <v>50</v>
      </c>
      <c r="C22" s="11">
        <f t="shared" ref="C22:C26" si="10">0+E22*5</f>
        <v>0</v>
      </c>
      <c r="D22" s="11">
        <v>300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1"/>
        <v>45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2"/>
        <v>55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3"/>
        <v>360</v>
      </c>
    </row>
    <row r="23" spans="1:21">
      <c r="A23" s="10" t="s">
        <v>161</v>
      </c>
      <c r="B23" s="11">
        <f t="shared" si="4"/>
        <v>50</v>
      </c>
      <c r="C23" s="11">
        <f t="shared" si="10"/>
        <v>0</v>
      </c>
      <c r="D23" s="11">
        <v>300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1"/>
        <v>40</v>
      </c>
      <c r="K23" s="14">
        <f>60+N23*10</f>
        <v>60</v>
      </c>
      <c r="L23" s="14">
        <f>10+N23*5</f>
        <v>10</v>
      </c>
      <c r="M23" s="14">
        <v>800</v>
      </c>
      <c r="N23" s="14">
        <v>0</v>
      </c>
      <c r="O23" s="14">
        <v>0</v>
      </c>
      <c r="P23" s="14">
        <f t="shared" si="2"/>
        <v>60</v>
      </c>
      <c r="Q23" s="14">
        <v>100</v>
      </c>
      <c r="R23" s="14">
        <v>1</v>
      </c>
      <c r="S23" s="14">
        <v>0</v>
      </c>
      <c r="T23" s="14">
        <f>(K23-C23)*(P23/Q23)</f>
        <v>36</v>
      </c>
      <c r="U23" s="10">
        <f t="shared" si="3"/>
        <v>212</v>
      </c>
    </row>
    <row r="24" spans="1:21">
      <c r="A24" s="10" t="s">
        <v>162</v>
      </c>
      <c r="B24" s="11">
        <f t="shared" si="4"/>
        <v>50</v>
      </c>
      <c r="C24" s="11">
        <f>20+E24*5</f>
        <v>20</v>
      </c>
      <c r="D24" s="11">
        <v>300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1"/>
        <v>25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2"/>
        <v>75</v>
      </c>
      <c r="Q24" s="14">
        <v>100</v>
      </c>
      <c r="R24" s="14">
        <v>1</v>
      </c>
      <c r="S24" s="14">
        <v>0</v>
      </c>
      <c r="T24" s="14">
        <v>0</v>
      </c>
      <c r="U24" s="10">
        <f t="shared" si="3"/>
        <v>250</v>
      </c>
    </row>
    <row r="25" spans="1:21">
      <c r="A25" s="10" t="s">
        <v>163</v>
      </c>
      <c r="B25" s="11">
        <f t="shared" si="4"/>
        <v>50</v>
      </c>
      <c r="C25" s="11">
        <f t="shared" si="10"/>
        <v>0</v>
      </c>
      <c r="D25" s="11">
        <v>300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1"/>
        <v>30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2"/>
        <v>70</v>
      </c>
      <c r="Q25" s="14">
        <v>100</v>
      </c>
      <c r="R25" s="14">
        <v>1</v>
      </c>
      <c r="S25" s="14">
        <v>0</v>
      </c>
      <c r="T25" s="14">
        <v>0</v>
      </c>
      <c r="U25" s="10">
        <f t="shared" si="3"/>
        <v>180</v>
      </c>
    </row>
    <row r="26" spans="1:21">
      <c r="A26" s="10" t="s">
        <v>164</v>
      </c>
      <c r="B26" s="11">
        <f t="shared" si="4"/>
        <v>50</v>
      </c>
      <c r="C26" s="11">
        <f t="shared" si="10"/>
        <v>0</v>
      </c>
      <c r="D26" s="11">
        <v>300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1"/>
        <v>45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2"/>
        <v>55</v>
      </c>
      <c r="Q26" s="14">
        <v>100</v>
      </c>
      <c r="R26" s="14">
        <v>1</v>
      </c>
      <c r="S26" s="14">
        <v>0</v>
      </c>
      <c r="T26" s="14">
        <v>0</v>
      </c>
      <c r="U26" s="10">
        <f t="shared" si="3"/>
        <v>67.5</v>
      </c>
    </row>
    <row r="27" spans="1:1">
      <c r="A27" s="20"/>
    </row>
    <row r="28" spans="1:21">
      <c r="A28" s="10" t="s">
        <v>7</v>
      </c>
      <c r="B28" s="8" t="s">
        <v>8</v>
      </c>
      <c r="C28" s="8"/>
      <c r="D28" s="8"/>
      <c r="E28" s="8"/>
      <c r="F28" s="8"/>
      <c r="G28" s="8"/>
      <c r="H28" s="8"/>
      <c r="I28" s="8"/>
      <c r="J28" s="8"/>
      <c r="K28" s="14" t="s">
        <v>9</v>
      </c>
      <c r="L28" s="14"/>
      <c r="M28" s="14"/>
      <c r="N28" s="14"/>
      <c r="O28" s="14"/>
      <c r="P28" s="14"/>
      <c r="Q28" s="14"/>
      <c r="R28" s="14"/>
      <c r="S28" s="14"/>
      <c r="T28" s="18"/>
      <c r="U28" s="10" t="s">
        <v>10</v>
      </c>
    </row>
    <row r="29" spans="1:21">
      <c r="A29" s="10" t="s">
        <v>83</v>
      </c>
      <c r="B29" s="8" t="s">
        <v>11</v>
      </c>
      <c r="C29" s="8" t="s">
        <v>12</v>
      </c>
      <c r="D29" s="8" t="s">
        <v>13</v>
      </c>
      <c r="E29" s="8" t="s">
        <v>14</v>
      </c>
      <c r="F29" s="8" t="s">
        <v>15</v>
      </c>
      <c r="G29" s="8" t="s">
        <v>16</v>
      </c>
      <c r="H29" s="8" t="s">
        <v>17</v>
      </c>
      <c r="I29" s="8" t="s">
        <v>18</v>
      </c>
      <c r="J29" s="8" t="s">
        <v>19</v>
      </c>
      <c r="K29" s="14" t="s">
        <v>11</v>
      </c>
      <c r="L29" s="14" t="s">
        <v>12</v>
      </c>
      <c r="M29" s="14" t="s">
        <v>13</v>
      </c>
      <c r="N29" s="14" t="s">
        <v>14</v>
      </c>
      <c r="O29" s="14" t="s">
        <v>15</v>
      </c>
      <c r="P29" s="14" t="s">
        <v>16</v>
      </c>
      <c r="Q29" s="14" t="s">
        <v>17</v>
      </c>
      <c r="R29" s="14" t="s">
        <v>20</v>
      </c>
      <c r="S29" s="14" t="s">
        <v>18</v>
      </c>
      <c r="T29" s="18" t="s">
        <v>21</v>
      </c>
      <c r="U29" s="10"/>
    </row>
    <row r="30" spans="1:21">
      <c r="A30" s="10" t="s">
        <v>151</v>
      </c>
      <c r="B30" s="11">
        <f>50+E30*10</f>
        <v>50</v>
      </c>
      <c r="C30" s="11">
        <v>20</v>
      </c>
      <c r="D30" s="11">
        <v>300</v>
      </c>
      <c r="E30" s="11">
        <v>0</v>
      </c>
      <c r="F30" s="8">
        <v>0</v>
      </c>
      <c r="G30" s="8">
        <v>100</v>
      </c>
      <c r="H30" s="8">
        <v>100</v>
      </c>
      <c r="I30" s="8">
        <v>0</v>
      </c>
      <c r="J30" s="8">
        <f>(B30-L30)*(G30/H30)</f>
        <v>30</v>
      </c>
      <c r="K30" s="15">
        <f>50+N30*10</f>
        <v>50</v>
      </c>
      <c r="L30" s="15">
        <f>20+N30*5</f>
        <v>20</v>
      </c>
      <c r="M30" s="14">
        <v>300</v>
      </c>
      <c r="N30" s="15">
        <v>0</v>
      </c>
      <c r="O30" s="14">
        <v>0</v>
      </c>
      <c r="P30" s="14">
        <v>70</v>
      </c>
      <c r="Q30" s="14">
        <v>100</v>
      </c>
      <c r="R30" s="14">
        <v>1</v>
      </c>
      <c r="S30" s="14">
        <v>0</v>
      </c>
      <c r="T30" s="14">
        <v>0</v>
      </c>
      <c r="U30" s="10">
        <f>(M30*(N30/3+1)*(J30*R30+S30)-(D30*(E30/3+1))*(T30+I30))/100</f>
        <v>90</v>
      </c>
    </row>
    <row r="31" spans="1:21">
      <c r="A31" s="10" t="s">
        <v>157</v>
      </c>
      <c r="B31" s="11">
        <f>50+E31*10</f>
        <v>50</v>
      </c>
      <c r="C31" s="11">
        <v>0</v>
      </c>
      <c r="D31" s="11">
        <v>300</v>
      </c>
      <c r="E31" s="11">
        <v>0</v>
      </c>
      <c r="F31" s="8">
        <v>0</v>
      </c>
      <c r="G31" s="8">
        <v>100</v>
      </c>
      <c r="H31" s="8">
        <v>100</v>
      </c>
      <c r="I31" s="8">
        <v>0</v>
      </c>
      <c r="J31" s="8">
        <f>(B31-L31)*(G31/H31)*50%</f>
        <v>20</v>
      </c>
      <c r="K31" s="14">
        <f>55+N31*5</f>
        <v>55</v>
      </c>
      <c r="L31" s="15">
        <f>10+N31*5</f>
        <v>10</v>
      </c>
      <c r="M31" s="14">
        <v>600</v>
      </c>
      <c r="N31" s="14">
        <v>0</v>
      </c>
      <c r="O31" s="14">
        <v>0</v>
      </c>
      <c r="P31" s="14">
        <v>60</v>
      </c>
      <c r="Q31" s="14">
        <f>100+N31*25</f>
        <v>100</v>
      </c>
      <c r="R31" s="14">
        <v>1</v>
      </c>
      <c r="S31" s="14">
        <v>0</v>
      </c>
      <c r="T31" s="14">
        <v>0</v>
      </c>
      <c r="U31" s="10">
        <f>(M31*(N31/3+1)*(J31*R31+S31)-(D31*(E31/3+1))*(T31+I31))/100</f>
        <v>120</v>
      </c>
    </row>
    <row r="32" spans="1:21">
      <c r="A32" s="10" t="s">
        <v>161</v>
      </c>
      <c r="B32" s="11">
        <f>50+E32*10</f>
        <v>50</v>
      </c>
      <c r="C32" s="11">
        <v>0</v>
      </c>
      <c r="D32" s="11">
        <v>300</v>
      </c>
      <c r="E32" s="11">
        <v>0</v>
      </c>
      <c r="F32" s="8">
        <v>0</v>
      </c>
      <c r="G32" s="8">
        <v>100</v>
      </c>
      <c r="H32" s="8">
        <v>100</v>
      </c>
      <c r="I32" s="8">
        <v>0</v>
      </c>
      <c r="J32" s="8">
        <f>(B32-L32)*(G32/H32)</f>
        <v>40</v>
      </c>
      <c r="K32" s="14">
        <f>60+N32*10</f>
        <v>60</v>
      </c>
      <c r="L32" s="15">
        <f>10+N32*5</f>
        <v>10</v>
      </c>
      <c r="M32" s="14">
        <v>800</v>
      </c>
      <c r="N32" s="14">
        <v>0</v>
      </c>
      <c r="O32" s="14">
        <v>0</v>
      </c>
      <c r="P32" s="14">
        <v>60</v>
      </c>
      <c r="Q32" s="14">
        <v>100</v>
      </c>
      <c r="R32" s="14">
        <v>1</v>
      </c>
      <c r="S32" s="14">
        <v>0</v>
      </c>
      <c r="T32" s="14">
        <v>0</v>
      </c>
      <c r="U32" s="10">
        <f>(M32*(N32/3+1)*(J32*R32+S32)-(D32*(E32/3+1))*(T32+I32))/100</f>
        <v>320</v>
      </c>
    </row>
    <row r="33" spans="1:21">
      <c r="A33" s="10" t="s">
        <v>162</v>
      </c>
      <c r="B33" s="11">
        <f>50+E33*10</f>
        <v>50</v>
      </c>
      <c r="C33" s="11">
        <v>20</v>
      </c>
      <c r="D33" s="11">
        <v>300</v>
      </c>
      <c r="E33" s="11">
        <v>0</v>
      </c>
      <c r="F33" s="8">
        <v>0</v>
      </c>
      <c r="G33" s="8">
        <v>100</v>
      </c>
      <c r="H33" s="8">
        <v>100</v>
      </c>
      <c r="I33" s="8">
        <v>0</v>
      </c>
      <c r="J33" s="8">
        <f>(B33-L33)*(G33/H33)*50%</f>
        <v>12.5</v>
      </c>
      <c r="K33" s="14">
        <f>70+N33*10</f>
        <v>70</v>
      </c>
      <c r="L33" s="14">
        <f>25+N33*5</f>
        <v>25</v>
      </c>
      <c r="M33" s="14">
        <v>1000</v>
      </c>
      <c r="N33" s="15">
        <v>0</v>
      </c>
      <c r="O33" s="14">
        <v>0</v>
      </c>
      <c r="P33" s="14">
        <v>75</v>
      </c>
      <c r="Q33" s="14">
        <v>100</v>
      </c>
      <c r="R33" s="14">
        <v>1</v>
      </c>
      <c r="S33" s="14">
        <v>0</v>
      </c>
      <c r="T33" s="14">
        <v>0</v>
      </c>
      <c r="U33" s="10">
        <f>(M33*(N33/3+1)*(J33*R33+S33)-(D33*(E33/3+1))*(T33+I33))/100</f>
        <v>125</v>
      </c>
    </row>
    <row r="34" spans="1:2">
      <c r="A34" s="21" t="s">
        <v>165</v>
      </c>
      <c r="B34" s="21"/>
    </row>
  </sheetData>
  <mergeCells count="17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B28:J28"/>
    <mergeCell ref="K28:T28"/>
    <mergeCell ref="A34:B34"/>
    <mergeCell ref="U5:U6"/>
    <mergeCell ref="U28:U2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zoomScale="90" zoomScaleNormal="90" topLeftCell="D1" workbookViewId="0">
      <selection activeCell="L7" sqref="L7:L26"/>
    </sheetView>
  </sheetViews>
  <sheetFormatPr defaultColWidth="8.89090909090909" defaultRowHeight="15"/>
  <cols>
    <col min="1" max="1" width="15.6636363636364" style="19" customWidth="1"/>
    <col min="2" max="3" width="8.33636363636364" style="19" customWidth="1"/>
    <col min="4" max="7" width="6.10909090909091" style="19" customWidth="1"/>
    <col min="8" max="8" width="8.33636363636364" style="19" customWidth="1"/>
    <col min="9" max="9" width="18.1090909090909" style="19" customWidth="1"/>
    <col min="10" max="10" width="10.6636363636364" style="19" customWidth="1"/>
    <col min="11" max="12" width="8.33636363636364" style="19" customWidth="1"/>
    <col min="13" max="16" width="6.10909090909091" style="19" customWidth="1"/>
    <col min="17" max="17" width="8.33636363636364" style="19" customWidth="1"/>
    <col min="18" max="18" width="10.6636363636364" style="19" customWidth="1"/>
    <col min="19" max="19" width="18.1090909090909" style="19" customWidth="1"/>
    <col min="20" max="21" width="10.6636363636364" style="19" customWidth="1"/>
    <col min="22" max="16384" width="8.89090909090909" style="19"/>
  </cols>
  <sheetData>
    <row r="1" s="19" customForma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9" customForma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="19" customFormat="1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9" customFormat="1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S4" s="1"/>
      <c r="T4" s="16" t="s">
        <v>6</v>
      </c>
      <c r="U4" s="17"/>
    </row>
    <row r="5" s="19" customFormat="1" spans="1:21">
      <c r="A5" s="10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="19" customFormat="1" spans="1:21">
      <c r="A6" s="10" t="s">
        <v>62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="19" customFormat="1" spans="1:21">
      <c r="A7" s="10" t="s">
        <v>166</v>
      </c>
      <c r="B7" s="11">
        <f>45+E7*5</f>
        <v>45</v>
      </c>
      <c r="C7" s="11">
        <f t="shared" ref="C7:C10" si="0">0+E7*5</f>
        <v>0</v>
      </c>
      <c r="D7" s="11">
        <v>400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 t="shared" ref="J7:J26" si="1">(B7-L7)*(G7/H7)</f>
        <v>40</v>
      </c>
      <c r="K7" s="15">
        <f>55+N7*10</f>
        <v>55</v>
      </c>
      <c r="L7" s="15">
        <f>5+N7*5</f>
        <v>5</v>
      </c>
      <c r="M7" s="15">
        <v>150</v>
      </c>
      <c r="N7" s="15">
        <v>0</v>
      </c>
      <c r="O7" s="14">
        <v>0</v>
      </c>
      <c r="P7" s="14">
        <f t="shared" ref="P7:P26" si="2">Q7-J7</f>
        <v>60</v>
      </c>
      <c r="Q7" s="14">
        <v>100</v>
      </c>
      <c r="R7" s="14">
        <v>1</v>
      </c>
      <c r="S7" s="14">
        <v>0</v>
      </c>
      <c r="T7" s="14">
        <f t="shared" ref="T7:T16" si="3">(K7-C7)*(P7/Q7)</f>
        <v>33</v>
      </c>
      <c r="U7" s="10">
        <f t="shared" ref="U7:U26" si="4">(M7*(N7/3+1)*(J7*R7+S7)-(D7*(E7/3+1))*(T7+I7))/100</f>
        <v>-72</v>
      </c>
    </row>
    <row r="8" s="19" customFormat="1" spans="1:21">
      <c r="A8" s="10" t="s">
        <v>167</v>
      </c>
      <c r="B8" s="11">
        <f t="shared" ref="B8:B26" si="5">45+E8*5</f>
        <v>45</v>
      </c>
      <c r="C8" s="11">
        <f t="shared" ref="C8:C14" si="6">40+E8*5</f>
        <v>40</v>
      </c>
      <c r="D8" s="11">
        <v>400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si="1"/>
        <v>30</v>
      </c>
      <c r="K8" s="15">
        <f t="shared" ref="K8:K13" si="7">50+N8*10</f>
        <v>50</v>
      </c>
      <c r="L8" s="15">
        <f>15+N8*5</f>
        <v>15</v>
      </c>
      <c r="M8" s="14">
        <v>200</v>
      </c>
      <c r="N8" s="15">
        <v>0</v>
      </c>
      <c r="O8" s="14">
        <v>0</v>
      </c>
      <c r="P8" s="14">
        <f t="shared" si="2"/>
        <v>70</v>
      </c>
      <c r="Q8" s="14">
        <v>100</v>
      </c>
      <c r="R8" s="14">
        <v>1</v>
      </c>
      <c r="S8" s="14">
        <v>0</v>
      </c>
      <c r="T8" s="14">
        <f t="shared" si="3"/>
        <v>7</v>
      </c>
      <c r="U8" s="10">
        <f t="shared" si="4"/>
        <v>32</v>
      </c>
    </row>
    <row r="9" s="19" customFormat="1" spans="1:21">
      <c r="A9" s="10" t="s">
        <v>168</v>
      </c>
      <c r="B9" s="11">
        <f t="shared" si="5"/>
        <v>45</v>
      </c>
      <c r="C9" s="11">
        <f t="shared" si="0"/>
        <v>0</v>
      </c>
      <c r="D9" s="11">
        <v>400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1"/>
        <v>45</v>
      </c>
      <c r="K9" s="15">
        <f>40+N9*10</f>
        <v>40</v>
      </c>
      <c r="L9" s="15">
        <f>0+N9*5</f>
        <v>0</v>
      </c>
      <c r="M9" s="14">
        <v>200</v>
      </c>
      <c r="N9" s="15">
        <v>0</v>
      </c>
      <c r="O9" s="14">
        <v>0</v>
      </c>
      <c r="P9" s="14">
        <f t="shared" si="2"/>
        <v>55</v>
      </c>
      <c r="Q9" s="14">
        <v>100</v>
      </c>
      <c r="R9" s="14">
        <v>1</v>
      </c>
      <c r="S9" s="14">
        <v>0</v>
      </c>
      <c r="T9" s="14">
        <f t="shared" si="3"/>
        <v>22</v>
      </c>
      <c r="U9" s="10">
        <f t="shared" si="4"/>
        <v>2</v>
      </c>
    </row>
    <row r="10" s="19" customFormat="1" spans="1:21">
      <c r="A10" s="10" t="s">
        <v>169</v>
      </c>
      <c r="B10" s="11">
        <f t="shared" si="5"/>
        <v>45</v>
      </c>
      <c r="C10" s="11">
        <f t="shared" si="0"/>
        <v>0</v>
      </c>
      <c r="D10" s="11">
        <v>400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1"/>
        <v>40</v>
      </c>
      <c r="K10" s="15">
        <f>45+N10*10</f>
        <v>45</v>
      </c>
      <c r="L10" s="15">
        <f>5+N10*5</f>
        <v>5</v>
      </c>
      <c r="M10" s="14">
        <v>250</v>
      </c>
      <c r="N10" s="15">
        <v>0</v>
      </c>
      <c r="O10" s="14">
        <v>0</v>
      </c>
      <c r="P10" s="14">
        <f t="shared" si="2"/>
        <v>60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4"/>
        <v>100</v>
      </c>
    </row>
    <row r="11" s="19" customFormat="1" spans="1:21">
      <c r="A11" s="10" t="s">
        <v>170</v>
      </c>
      <c r="B11" s="11">
        <f t="shared" si="5"/>
        <v>45</v>
      </c>
      <c r="C11" s="11">
        <f t="shared" si="6"/>
        <v>40</v>
      </c>
      <c r="D11" s="11">
        <v>400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1"/>
        <v>55</v>
      </c>
      <c r="K11" s="15">
        <f t="shared" si="7"/>
        <v>50</v>
      </c>
      <c r="L11" s="15">
        <f>-10+N11*5</f>
        <v>-10</v>
      </c>
      <c r="M11" s="14">
        <v>250</v>
      </c>
      <c r="N11" s="15">
        <v>0</v>
      </c>
      <c r="O11" s="14">
        <v>0</v>
      </c>
      <c r="P11" s="14">
        <f t="shared" si="2"/>
        <v>45</v>
      </c>
      <c r="Q11" s="14">
        <f>100+N11*5</f>
        <v>100</v>
      </c>
      <c r="R11" s="14">
        <v>1</v>
      </c>
      <c r="S11" s="14">
        <v>0</v>
      </c>
      <c r="T11" s="14">
        <f t="shared" si="3"/>
        <v>4.5</v>
      </c>
      <c r="U11" s="10">
        <f t="shared" si="4"/>
        <v>119.5</v>
      </c>
    </row>
    <row r="12" s="19" customFormat="1" spans="1:21">
      <c r="A12" s="10" t="s">
        <v>171</v>
      </c>
      <c r="B12" s="11">
        <f t="shared" si="5"/>
        <v>45</v>
      </c>
      <c r="C12" s="11">
        <f t="shared" ref="C12:C19" si="8">0+E12*5</f>
        <v>0</v>
      </c>
      <c r="D12" s="11">
        <v>400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1"/>
        <v>30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2"/>
        <v>70</v>
      </c>
      <c r="Q12" s="14">
        <v>100</v>
      </c>
      <c r="R12" s="14">
        <v>1</v>
      </c>
      <c r="S12" s="14">
        <v>0</v>
      </c>
      <c r="T12" s="14">
        <f t="shared" si="3"/>
        <v>42</v>
      </c>
      <c r="U12" s="10">
        <f t="shared" si="4"/>
        <v>-78</v>
      </c>
    </row>
    <row r="13" s="19" customFormat="1" spans="1:21">
      <c r="A13" s="10" t="s">
        <v>172</v>
      </c>
      <c r="B13" s="11">
        <f t="shared" si="5"/>
        <v>45</v>
      </c>
      <c r="C13" s="11">
        <f t="shared" si="6"/>
        <v>40</v>
      </c>
      <c r="D13" s="11">
        <v>400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1"/>
        <v>25</v>
      </c>
      <c r="K13" s="15">
        <f t="shared" si="7"/>
        <v>50</v>
      </c>
      <c r="L13" s="15">
        <f>20+N13*5</f>
        <v>20</v>
      </c>
      <c r="M13" s="14">
        <v>300</v>
      </c>
      <c r="N13" s="15">
        <v>0</v>
      </c>
      <c r="O13" s="14">
        <v>0</v>
      </c>
      <c r="P13" s="14">
        <f t="shared" si="2"/>
        <v>75</v>
      </c>
      <c r="Q13" s="14">
        <v>100</v>
      </c>
      <c r="R13" s="14">
        <v>1</v>
      </c>
      <c r="S13" s="14">
        <v>0</v>
      </c>
      <c r="T13" s="14">
        <f t="shared" si="3"/>
        <v>7.5</v>
      </c>
      <c r="U13" s="10">
        <f t="shared" si="4"/>
        <v>45</v>
      </c>
    </row>
    <row r="14" s="19" customFormat="1" spans="1:21">
      <c r="A14" s="10" t="s">
        <v>173</v>
      </c>
      <c r="B14" s="11">
        <f t="shared" si="5"/>
        <v>45</v>
      </c>
      <c r="C14" s="11">
        <f t="shared" si="6"/>
        <v>40</v>
      </c>
      <c r="D14" s="11">
        <v>400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1"/>
        <v>5</v>
      </c>
      <c r="K14" s="15">
        <f>45+N14*5</f>
        <v>45</v>
      </c>
      <c r="L14" s="15">
        <f>40+N14*5</f>
        <v>40</v>
      </c>
      <c r="M14" s="14">
        <v>400</v>
      </c>
      <c r="N14" s="15">
        <v>0</v>
      </c>
      <c r="O14" s="14">
        <v>0</v>
      </c>
      <c r="P14" s="14">
        <f t="shared" si="2"/>
        <v>95</v>
      </c>
      <c r="Q14" s="14">
        <v>100</v>
      </c>
      <c r="R14" s="14">
        <v>1</v>
      </c>
      <c r="S14" s="14">
        <v>0</v>
      </c>
      <c r="T14" s="14">
        <f t="shared" si="3"/>
        <v>4.75</v>
      </c>
      <c r="U14" s="10">
        <f t="shared" si="4"/>
        <v>1</v>
      </c>
    </row>
    <row r="15" s="19" customFormat="1" spans="1:21">
      <c r="A15" s="10" t="s">
        <v>174</v>
      </c>
      <c r="B15" s="11">
        <f t="shared" si="5"/>
        <v>45</v>
      </c>
      <c r="C15" s="11">
        <f t="shared" si="8"/>
        <v>0</v>
      </c>
      <c r="D15" s="11">
        <v>400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1"/>
        <v>35</v>
      </c>
      <c r="K15" s="15">
        <f>50+N15*5</f>
        <v>50</v>
      </c>
      <c r="L15" s="15">
        <f t="shared" ref="L15:L19" si="9">10+N15*5</f>
        <v>10</v>
      </c>
      <c r="M15" s="14">
        <v>400</v>
      </c>
      <c r="N15" s="15">
        <v>0</v>
      </c>
      <c r="O15" s="14">
        <v>0</v>
      </c>
      <c r="P15" s="14">
        <f t="shared" si="2"/>
        <v>65</v>
      </c>
      <c r="Q15" s="14">
        <v>100</v>
      </c>
      <c r="R15" s="14">
        <v>1</v>
      </c>
      <c r="S15" s="14">
        <v>0</v>
      </c>
      <c r="T15" s="14">
        <f t="shared" si="3"/>
        <v>32.5</v>
      </c>
      <c r="U15" s="10">
        <f t="shared" si="4"/>
        <v>10</v>
      </c>
    </row>
    <row r="16" s="19" customFormat="1" spans="1:21">
      <c r="A16" s="10" t="s">
        <v>175</v>
      </c>
      <c r="B16" s="11">
        <f t="shared" si="5"/>
        <v>45</v>
      </c>
      <c r="C16" s="11">
        <f t="shared" ref="C16:C21" si="10">40+E16*5</f>
        <v>40</v>
      </c>
      <c r="D16" s="11">
        <v>400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1"/>
        <v>15</v>
      </c>
      <c r="K16" s="15">
        <f>55+N16*5</f>
        <v>55</v>
      </c>
      <c r="L16" s="15">
        <f>30+N16*5</f>
        <v>30</v>
      </c>
      <c r="M16" s="14">
        <v>500</v>
      </c>
      <c r="N16" s="15">
        <v>0</v>
      </c>
      <c r="O16" s="14">
        <v>0</v>
      </c>
      <c r="P16" s="14">
        <f t="shared" si="2"/>
        <v>85</v>
      </c>
      <c r="Q16" s="14">
        <v>100</v>
      </c>
      <c r="R16" s="14">
        <v>1</v>
      </c>
      <c r="S16" s="14">
        <v>0</v>
      </c>
      <c r="T16" s="14">
        <f t="shared" si="3"/>
        <v>12.75</v>
      </c>
      <c r="U16" s="10">
        <f t="shared" si="4"/>
        <v>24</v>
      </c>
    </row>
    <row r="17" s="19" customFormat="1" spans="1:21">
      <c r="A17" s="10" t="s">
        <v>176</v>
      </c>
      <c r="B17" s="11">
        <f t="shared" si="5"/>
        <v>45</v>
      </c>
      <c r="C17" s="11">
        <f t="shared" si="8"/>
        <v>0</v>
      </c>
      <c r="D17" s="11">
        <v>400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1"/>
        <v>35</v>
      </c>
      <c r="K17" s="14">
        <f>70+N17*10</f>
        <v>70</v>
      </c>
      <c r="L17" s="14">
        <f t="shared" si="9"/>
        <v>10</v>
      </c>
      <c r="M17" s="14">
        <v>500</v>
      </c>
      <c r="N17" s="14">
        <v>0</v>
      </c>
      <c r="O17" s="14">
        <v>0</v>
      </c>
      <c r="P17" s="14">
        <f t="shared" si="2"/>
        <v>65</v>
      </c>
      <c r="Q17" s="14">
        <v>100</v>
      </c>
      <c r="R17" s="14">
        <v>1</v>
      </c>
      <c r="S17" s="14">
        <v>0</v>
      </c>
      <c r="T17" s="14">
        <f>(K17-C17)*1</f>
        <v>70</v>
      </c>
      <c r="U17" s="10">
        <f t="shared" si="4"/>
        <v>-105</v>
      </c>
    </row>
    <row r="18" s="19" customFormat="1" spans="1:21">
      <c r="A18" s="10" t="s">
        <v>177</v>
      </c>
      <c r="B18" s="11">
        <f t="shared" si="5"/>
        <v>45</v>
      </c>
      <c r="C18" s="11">
        <f t="shared" si="8"/>
        <v>0</v>
      </c>
      <c r="D18" s="11">
        <v>400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1"/>
        <v>35</v>
      </c>
      <c r="K18" s="14">
        <f>75+N18*10</f>
        <v>75</v>
      </c>
      <c r="L18" s="14">
        <f t="shared" si="9"/>
        <v>10</v>
      </c>
      <c r="M18" s="14">
        <v>600</v>
      </c>
      <c r="N18" s="15">
        <v>0</v>
      </c>
      <c r="O18" s="14">
        <v>0</v>
      </c>
      <c r="P18" s="14">
        <f t="shared" si="2"/>
        <v>65</v>
      </c>
      <c r="Q18" s="14">
        <v>100</v>
      </c>
      <c r="R18" s="14">
        <v>1</v>
      </c>
      <c r="S18" s="14">
        <v>0</v>
      </c>
      <c r="T18" s="14">
        <f>(K18-C18)*(P18/Q18)</f>
        <v>48.75</v>
      </c>
      <c r="U18" s="10">
        <f t="shared" si="4"/>
        <v>15</v>
      </c>
    </row>
    <row r="19" s="19" customFormat="1" spans="1:21">
      <c r="A19" s="10" t="s">
        <v>178</v>
      </c>
      <c r="B19" s="11">
        <f t="shared" si="5"/>
        <v>45</v>
      </c>
      <c r="C19" s="11">
        <f t="shared" si="8"/>
        <v>0</v>
      </c>
      <c r="D19" s="11">
        <v>400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1"/>
        <v>35</v>
      </c>
      <c r="K19" s="14">
        <f>55+N19*5</f>
        <v>55</v>
      </c>
      <c r="L19" s="14">
        <f t="shared" si="9"/>
        <v>10</v>
      </c>
      <c r="M19" s="14">
        <v>600</v>
      </c>
      <c r="N19" s="14">
        <v>0</v>
      </c>
      <c r="O19" s="14">
        <v>0</v>
      </c>
      <c r="P19" s="14">
        <f t="shared" si="2"/>
        <v>65</v>
      </c>
      <c r="Q19" s="14">
        <f>100+N19*25</f>
        <v>100</v>
      </c>
      <c r="R19" s="14">
        <v>1</v>
      </c>
      <c r="S19" s="14">
        <v>0</v>
      </c>
      <c r="T19" s="14">
        <f t="shared" ref="T19:T26" si="11">(K19-C19)*(P19/Q19)</f>
        <v>35.75</v>
      </c>
      <c r="U19" s="10">
        <f t="shared" si="4"/>
        <v>67</v>
      </c>
    </row>
    <row r="20" s="19" customFormat="1" spans="1:21">
      <c r="A20" s="10" t="s">
        <v>179</v>
      </c>
      <c r="B20" s="11">
        <f t="shared" si="5"/>
        <v>45</v>
      </c>
      <c r="C20" s="11">
        <f t="shared" si="10"/>
        <v>40</v>
      </c>
      <c r="D20" s="11">
        <v>400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1"/>
        <v>25</v>
      </c>
      <c r="K20" s="14">
        <f>55+N20*10</f>
        <v>55</v>
      </c>
      <c r="L20" s="14">
        <f>20+N20*5</f>
        <v>20</v>
      </c>
      <c r="M20" s="14">
        <v>600</v>
      </c>
      <c r="N20" s="15">
        <v>0</v>
      </c>
      <c r="O20" s="14">
        <v>0</v>
      </c>
      <c r="P20" s="14">
        <f t="shared" si="2"/>
        <v>75</v>
      </c>
      <c r="Q20" s="14">
        <f>100+N20*10</f>
        <v>100</v>
      </c>
      <c r="R20" s="14">
        <v>1</v>
      </c>
      <c r="S20" s="14">
        <v>0</v>
      </c>
      <c r="T20" s="14">
        <f t="shared" si="11"/>
        <v>11.25</v>
      </c>
      <c r="U20" s="10">
        <f t="shared" si="4"/>
        <v>105</v>
      </c>
    </row>
    <row r="21" s="19" customFormat="1" spans="1:21">
      <c r="A21" s="10" t="s">
        <v>180</v>
      </c>
      <c r="B21" s="11">
        <f t="shared" si="5"/>
        <v>45</v>
      </c>
      <c r="C21" s="11">
        <f t="shared" si="10"/>
        <v>40</v>
      </c>
      <c r="D21" s="11">
        <v>400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1"/>
        <v>15</v>
      </c>
      <c r="K21" s="14">
        <f>40+N21*5</f>
        <v>40</v>
      </c>
      <c r="L21" s="14">
        <f>30+N21*5</f>
        <v>30</v>
      </c>
      <c r="M21" s="14">
        <v>600</v>
      </c>
      <c r="N21" s="14">
        <v>0</v>
      </c>
      <c r="O21" s="14">
        <v>0</v>
      </c>
      <c r="P21" s="14">
        <f t="shared" si="2"/>
        <v>85</v>
      </c>
      <c r="Q21" s="14">
        <v>100</v>
      </c>
      <c r="R21" s="14">
        <v>1</v>
      </c>
      <c r="S21" s="14">
        <v>0</v>
      </c>
      <c r="T21" s="14">
        <f t="shared" si="11"/>
        <v>0</v>
      </c>
      <c r="U21" s="10">
        <f t="shared" si="4"/>
        <v>90</v>
      </c>
    </row>
    <row r="22" s="19" customFormat="1" spans="1:21">
      <c r="A22" s="10" t="s">
        <v>181</v>
      </c>
      <c r="B22" s="11">
        <f t="shared" si="5"/>
        <v>45</v>
      </c>
      <c r="C22" s="11">
        <f t="shared" ref="C22:C26" si="12">0+E22*5</f>
        <v>0</v>
      </c>
      <c r="D22" s="11">
        <v>400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1"/>
        <v>40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2"/>
        <v>60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4"/>
        <v>320</v>
      </c>
    </row>
    <row r="23" s="19" customFormat="1" spans="1:21">
      <c r="A23" s="10" t="s">
        <v>182</v>
      </c>
      <c r="B23" s="11">
        <f t="shared" si="5"/>
        <v>45</v>
      </c>
      <c r="C23" s="11">
        <f t="shared" si="12"/>
        <v>0</v>
      </c>
      <c r="D23" s="11">
        <v>400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1"/>
        <v>35</v>
      </c>
      <c r="K23" s="14">
        <f>60+N23*10</f>
        <v>60</v>
      </c>
      <c r="L23" s="14">
        <f>10+N23*5</f>
        <v>10</v>
      </c>
      <c r="M23" s="14">
        <v>800</v>
      </c>
      <c r="N23" s="14">
        <v>0</v>
      </c>
      <c r="O23" s="14">
        <v>0</v>
      </c>
      <c r="P23" s="14">
        <f t="shared" si="2"/>
        <v>65</v>
      </c>
      <c r="Q23" s="14">
        <v>100</v>
      </c>
      <c r="R23" s="14">
        <v>1</v>
      </c>
      <c r="S23" s="14">
        <v>0</v>
      </c>
      <c r="T23" s="14">
        <f t="shared" si="11"/>
        <v>39</v>
      </c>
      <c r="U23" s="10">
        <f t="shared" si="4"/>
        <v>124</v>
      </c>
    </row>
    <row r="24" s="19" customFormat="1" spans="1:21">
      <c r="A24" s="10" t="s">
        <v>183</v>
      </c>
      <c r="B24" s="11">
        <f t="shared" si="5"/>
        <v>45</v>
      </c>
      <c r="C24" s="11">
        <f>40+E24*5</f>
        <v>40</v>
      </c>
      <c r="D24" s="11">
        <v>400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1"/>
        <v>20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2"/>
        <v>80</v>
      </c>
      <c r="Q24" s="14">
        <v>100</v>
      </c>
      <c r="R24" s="14">
        <v>1</v>
      </c>
      <c r="S24" s="14">
        <v>0</v>
      </c>
      <c r="T24" s="14">
        <f>(K24-C24)*(P24/Q24)*1.5</f>
        <v>36</v>
      </c>
      <c r="U24" s="10">
        <f t="shared" si="4"/>
        <v>56</v>
      </c>
    </row>
    <row r="25" s="19" customFormat="1" spans="1:21">
      <c r="A25" s="10" t="s">
        <v>184</v>
      </c>
      <c r="B25" s="11">
        <f t="shared" si="5"/>
        <v>45</v>
      </c>
      <c r="C25" s="11">
        <f t="shared" si="12"/>
        <v>0</v>
      </c>
      <c r="D25" s="11">
        <v>400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1"/>
        <v>25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2"/>
        <v>75</v>
      </c>
      <c r="Q25" s="14">
        <v>100</v>
      </c>
      <c r="R25" s="14">
        <v>1</v>
      </c>
      <c r="S25" s="14">
        <v>0</v>
      </c>
      <c r="T25" s="14">
        <f t="shared" si="11"/>
        <v>45</v>
      </c>
      <c r="U25" s="10">
        <f t="shared" si="4"/>
        <v>-30</v>
      </c>
    </row>
    <row r="26" s="19" customFormat="1" spans="1:21">
      <c r="A26" s="10" t="s">
        <v>185</v>
      </c>
      <c r="B26" s="11">
        <f t="shared" si="5"/>
        <v>45</v>
      </c>
      <c r="C26" s="11">
        <f t="shared" si="12"/>
        <v>0</v>
      </c>
      <c r="D26" s="11">
        <v>400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1"/>
        <v>40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2"/>
        <v>60</v>
      </c>
      <c r="Q26" s="14">
        <v>100</v>
      </c>
      <c r="R26" s="14">
        <v>1</v>
      </c>
      <c r="S26" s="14">
        <v>0</v>
      </c>
      <c r="T26" s="14">
        <f t="shared" si="11"/>
        <v>24</v>
      </c>
      <c r="U26" s="10">
        <f t="shared" si="4"/>
        <v>-36</v>
      </c>
    </row>
    <row r="27" s="19" customFormat="1" spans="1:1">
      <c r="A27" s="20"/>
    </row>
    <row r="28" s="19" customFormat="1" spans="1:21">
      <c r="A28" s="10" t="s">
        <v>7</v>
      </c>
      <c r="B28" s="8" t="s">
        <v>8</v>
      </c>
      <c r="C28" s="8"/>
      <c r="D28" s="8"/>
      <c r="E28" s="8"/>
      <c r="F28" s="8"/>
      <c r="G28" s="8"/>
      <c r="H28" s="8"/>
      <c r="I28" s="8"/>
      <c r="J28" s="8"/>
      <c r="K28" s="14" t="s">
        <v>9</v>
      </c>
      <c r="L28" s="14"/>
      <c r="M28" s="14"/>
      <c r="N28" s="14"/>
      <c r="O28" s="14"/>
      <c r="P28" s="14"/>
      <c r="Q28" s="14"/>
      <c r="R28" s="14"/>
      <c r="S28" s="14"/>
      <c r="T28" s="18"/>
      <c r="U28" s="10" t="s">
        <v>10</v>
      </c>
    </row>
    <row r="29" s="19" customFormat="1" spans="1:21">
      <c r="A29" s="10" t="s">
        <v>83</v>
      </c>
      <c r="B29" s="8" t="s">
        <v>11</v>
      </c>
      <c r="C29" s="8" t="s">
        <v>12</v>
      </c>
      <c r="D29" s="8" t="s">
        <v>13</v>
      </c>
      <c r="E29" s="8" t="s">
        <v>14</v>
      </c>
      <c r="F29" s="8" t="s">
        <v>15</v>
      </c>
      <c r="G29" s="8" t="s">
        <v>16</v>
      </c>
      <c r="H29" s="8" t="s">
        <v>17</v>
      </c>
      <c r="I29" s="8" t="s">
        <v>18</v>
      </c>
      <c r="J29" s="8" t="s">
        <v>19</v>
      </c>
      <c r="K29" s="14" t="s">
        <v>11</v>
      </c>
      <c r="L29" s="14" t="s">
        <v>12</v>
      </c>
      <c r="M29" s="14" t="s">
        <v>13</v>
      </c>
      <c r="N29" s="14" t="s">
        <v>14</v>
      </c>
      <c r="O29" s="14" t="s">
        <v>15</v>
      </c>
      <c r="P29" s="14" t="s">
        <v>16</v>
      </c>
      <c r="Q29" s="14" t="s">
        <v>17</v>
      </c>
      <c r="R29" s="14" t="s">
        <v>20</v>
      </c>
      <c r="S29" s="14" t="s">
        <v>18</v>
      </c>
      <c r="T29" s="18" t="s">
        <v>21</v>
      </c>
      <c r="U29" s="10"/>
    </row>
    <row r="30" s="19" customFormat="1" spans="1:21">
      <c r="A30" s="10" t="s">
        <v>166</v>
      </c>
      <c r="B30" s="11">
        <f t="shared" ref="B30:B49" si="13">45+E30*5</f>
        <v>45</v>
      </c>
      <c r="C30" s="11">
        <f t="shared" ref="C30:C33" si="14">0+E30*5</f>
        <v>0</v>
      </c>
      <c r="D30" s="11">
        <v>400</v>
      </c>
      <c r="E30" s="11">
        <v>0</v>
      </c>
      <c r="F30" s="8">
        <v>0</v>
      </c>
      <c r="G30" s="8">
        <v>100</v>
      </c>
      <c r="H30" s="8">
        <v>100</v>
      </c>
      <c r="I30" s="8">
        <v>0</v>
      </c>
      <c r="J30" s="8">
        <f t="shared" ref="J30:J49" si="15">(B30-L30)*(G30/H30)</f>
        <v>40</v>
      </c>
      <c r="K30" s="15">
        <f>55+N30*10</f>
        <v>55</v>
      </c>
      <c r="L30" s="15">
        <f>5+N30*5</f>
        <v>5</v>
      </c>
      <c r="M30" s="15">
        <v>150</v>
      </c>
      <c r="N30" s="15">
        <v>0</v>
      </c>
      <c r="O30" s="14">
        <v>0</v>
      </c>
      <c r="P30" s="14">
        <f t="shared" ref="P30:P49" si="16">Q30-J30</f>
        <v>60</v>
      </c>
      <c r="Q30" s="14">
        <v>100</v>
      </c>
      <c r="R30" s="14">
        <v>1</v>
      </c>
      <c r="S30" s="14">
        <v>0</v>
      </c>
      <c r="T30" s="14">
        <v>0</v>
      </c>
      <c r="U30" s="10">
        <f t="shared" ref="U30:U49" si="17">(M30*(N30/3+1)*(J30*R30+S30)-(D30*(E30/3+1))*(T30+I30))/100</f>
        <v>60</v>
      </c>
    </row>
    <row r="31" s="19" customFormat="1" spans="1:21">
      <c r="A31" s="10" t="s">
        <v>167</v>
      </c>
      <c r="B31" s="11">
        <f t="shared" si="13"/>
        <v>45</v>
      </c>
      <c r="C31" s="11">
        <f t="shared" ref="C31:C37" si="18">40+E31*5</f>
        <v>40</v>
      </c>
      <c r="D31" s="11">
        <v>400</v>
      </c>
      <c r="E31" s="11">
        <v>0</v>
      </c>
      <c r="F31" s="8">
        <v>0</v>
      </c>
      <c r="G31" s="8">
        <v>100</v>
      </c>
      <c r="H31" s="8">
        <v>100</v>
      </c>
      <c r="I31" s="8">
        <v>0</v>
      </c>
      <c r="J31" s="8">
        <f t="shared" si="15"/>
        <v>30</v>
      </c>
      <c r="K31" s="15">
        <f t="shared" ref="K31:K36" si="19">50+N31*10</f>
        <v>50</v>
      </c>
      <c r="L31" s="15">
        <f>15+N31*5</f>
        <v>15</v>
      </c>
      <c r="M31" s="14">
        <v>200</v>
      </c>
      <c r="N31" s="15">
        <v>0</v>
      </c>
      <c r="O31" s="14">
        <v>0</v>
      </c>
      <c r="P31" s="14">
        <f t="shared" si="16"/>
        <v>70</v>
      </c>
      <c r="Q31" s="14">
        <v>100</v>
      </c>
      <c r="R31" s="14">
        <v>1</v>
      </c>
      <c r="S31" s="14">
        <v>0</v>
      </c>
      <c r="T31" s="14">
        <v>0</v>
      </c>
      <c r="U31" s="10">
        <f t="shared" si="17"/>
        <v>60</v>
      </c>
    </row>
    <row r="32" s="19" customFormat="1" spans="1:21">
      <c r="A32" s="10" t="s">
        <v>168</v>
      </c>
      <c r="B32" s="11">
        <f t="shared" si="13"/>
        <v>45</v>
      </c>
      <c r="C32" s="11">
        <f t="shared" si="14"/>
        <v>0</v>
      </c>
      <c r="D32" s="11">
        <v>400</v>
      </c>
      <c r="E32" s="11">
        <v>0</v>
      </c>
      <c r="F32" s="8">
        <v>0</v>
      </c>
      <c r="G32" s="8">
        <v>100</v>
      </c>
      <c r="H32" s="8">
        <v>100</v>
      </c>
      <c r="I32" s="8">
        <v>0</v>
      </c>
      <c r="J32" s="8">
        <f t="shared" si="15"/>
        <v>45</v>
      </c>
      <c r="K32" s="15">
        <f>40+N32*10</f>
        <v>40</v>
      </c>
      <c r="L32" s="15">
        <f>0+N32*5</f>
        <v>0</v>
      </c>
      <c r="M32" s="14">
        <v>200</v>
      </c>
      <c r="N32" s="15">
        <v>0</v>
      </c>
      <c r="O32" s="14">
        <v>0</v>
      </c>
      <c r="P32" s="14">
        <f t="shared" si="16"/>
        <v>55</v>
      </c>
      <c r="Q32" s="14">
        <v>100</v>
      </c>
      <c r="R32" s="14">
        <v>1</v>
      </c>
      <c r="S32" s="14">
        <v>0</v>
      </c>
      <c r="T32" s="14">
        <v>0</v>
      </c>
      <c r="U32" s="10">
        <f t="shared" si="17"/>
        <v>90</v>
      </c>
    </row>
    <row r="33" spans="1:21">
      <c r="A33" s="10" t="s">
        <v>169</v>
      </c>
      <c r="B33" s="11">
        <f t="shared" si="13"/>
        <v>45</v>
      </c>
      <c r="C33" s="11">
        <f t="shared" si="14"/>
        <v>0</v>
      </c>
      <c r="D33" s="11">
        <v>400</v>
      </c>
      <c r="E33" s="11">
        <v>0</v>
      </c>
      <c r="F33" s="8">
        <v>0</v>
      </c>
      <c r="G33" s="8">
        <v>100</v>
      </c>
      <c r="H33" s="8">
        <v>100</v>
      </c>
      <c r="I33" s="8">
        <v>0</v>
      </c>
      <c r="J33" s="8">
        <f t="shared" si="15"/>
        <v>40</v>
      </c>
      <c r="K33" s="15">
        <f>45+N33*10</f>
        <v>45</v>
      </c>
      <c r="L33" s="15">
        <f>5+N33*5</f>
        <v>5</v>
      </c>
      <c r="M33" s="14">
        <v>250</v>
      </c>
      <c r="N33" s="15">
        <v>0</v>
      </c>
      <c r="O33" s="14">
        <v>0</v>
      </c>
      <c r="P33" s="14">
        <f t="shared" si="16"/>
        <v>60</v>
      </c>
      <c r="Q33" s="14">
        <v>100</v>
      </c>
      <c r="R33" s="14">
        <v>1</v>
      </c>
      <c r="S33" s="14">
        <v>0</v>
      </c>
      <c r="T33" s="14">
        <v>0</v>
      </c>
      <c r="U33" s="10">
        <f t="shared" si="17"/>
        <v>100</v>
      </c>
    </row>
    <row r="34" spans="1:21">
      <c r="A34" s="10" t="s">
        <v>170</v>
      </c>
      <c r="B34" s="11">
        <f t="shared" si="13"/>
        <v>45</v>
      </c>
      <c r="C34" s="11">
        <f t="shared" si="18"/>
        <v>40</v>
      </c>
      <c r="D34" s="11">
        <v>400</v>
      </c>
      <c r="E34" s="11">
        <v>0</v>
      </c>
      <c r="F34" s="8">
        <v>0</v>
      </c>
      <c r="G34" s="8">
        <v>100</v>
      </c>
      <c r="H34" s="8">
        <v>100</v>
      </c>
      <c r="I34" s="8">
        <v>0</v>
      </c>
      <c r="J34" s="8">
        <f t="shared" si="15"/>
        <v>55</v>
      </c>
      <c r="K34" s="15">
        <f t="shared" si="19"/>
        <v>50</v>
      </c>
      <c r="L34" s="15">
        <f>-10+N34*5</f>
        <v>-10</v>
      </c>
      <c r="M34" s="14">
        <v>250</v>
      </c>
      <c r="N34" s="15">
        <v>0</v>
      </c>
      <c r="O34" s="14">
        <v>0</v>
      </c>
      <c r="P34" s="14">
        <f t="shared" si="16"/>
        <v>45</v>
      </c>
      <c r="Q34" s="14">
        <f>100+N34*5</f>
        <v>100</v>
      </c>
      <c r="R34" s="14">
        <v>1</v>
      </c>
      <c r="S34" s="14">
        <v>0</v>
      </c>
      <c r="T34" s="14">
        <v>0</v>
      </c>
      <c r="U34" s="10">
        <f t="shared" si="17"/>
        <v>137.5</v>
      </c>
    </row>
    <row r="35" spans="1:21">
      <c r="A35" s="10" t="s">
        <v>171</v>
      </c>
      <c r="B35" s="11">
        <f t="shared" si="13"/>
        <v>45</v>
      </c>
      <c r="C35" s="11">
        <f t="shared" ref="C35:C42" si="20">0+E35*5</f>
        <v>0</v>
      </c>
      <c r="D35" s="11">
        <v>400</v>
      </c>
      <c r="E35" s="11">
        <v>0</v>
      </c>
      <c r="F35" s="8">
        <v>0</v>
      </c>
      <c r="G35" s="8">
        <v>100</v>
      </c>
      <c r="H35" s="8">
        <v>100</v>
      </c>
      <c r="I35" s="8">
        <v>0</v>
      </c>
      <c r="J35" s="8">
        <f t="shared" si="15"/>
        <v>30</v>
      </c>
      <c r="K35" s="15">
        <f>60+N35*10</f>
        <v>60</v>
      </c>
      <c r="L35" s="15">
        <f>15+N35*5</f>
        <v>15</v>
      </c>
      <c r="M35" s="14">
        <v>300</v>
      </c>
      <c r="N35" s="15">
        <v>0</v>
      </c>
      <c r="O35" s="14">
        <v>0</v>
      </c>
      <c r="P35" s="14">
        <f t="shared" si="16"/>
        <v>70</v>
      </c>
      <c r="Q35" s="14">
        <v>100</v>
      </c>
      <c r="R35" s="14">
        <v>1</v>
      </c>
      <c r="S35" s="14">
        <v>0</v>
      </c>
      <c r="T35" s="14">
        <v>0</v>
      </c>
      <c r="U35" s="10">
        <f t="shared" si="17"/>
        <v>90</v>
      </c>
    </row>
    <row r="36" spans="1:21">
      <c r="A36" s="10" t="s">
        <v>172</v>
      </c>
      <c r="B36" s="11">
        <f t="shared" si="13"/>
        <v>45</v>
      </c>
      <c r="C36" s="11">
        <f t="shared" si="18"/>
        <v>40</v>
      </c>
      <c r="D36" s="11">
        <v>400</v>
      </c>
      <c r="E36" s="11">
        <v>0</v>
      </c>
      <c r="F36" s="8">
        <v>0</v>
      </c>
      <c r="G36" s="8">
        <v>100</v>
      </c>
      <c r="H36" s="8">
        <v>100</v>
      </c>
      <c r="I36" s="8">
        <v>0</v>
      </c>
      <c r="J36" s="8">
        <f t="shared" si="15"/>
        <v>25</v>
      </c>
      <c r="K36" s="15">
        <f t="shared" si="19"/>
        <v>50</v>
      </c>
      <c r="L36" s="15">
        <f>20+N36*5</f>
        <v>20</v>
      </c>
      <c r="M36" s="14">
        <v>300</v>
      </c>
      <c r="N36" s="15">
        <v>0</v>
      </c>
      <c r="O36" s="14">
        <v>0</v>
      </c>
      <c r="P36" s="14">
        <f t="shared" si="16"/>
        <v>75</v>
      </c>
      <c r="Q36" s="14">
        <v>100</v>
      </c>
      <c r="R36" s="14">
        <v>1</v>
      </c>
      <c r="S36" s="14">
        <v>0</v>
      </c>
      <c r="T36" s="14">
        <v>0</v>
      </c>
      <c r="U36" s="10">
        <f t="shared" si="17"/>
        <v>75</v>
      </c>
    </row>
    <row r="37" spans="1:21">
      <c r="A37" s="10" t="s">
        <v>173</v>
      </c>
      <c r="B37" s="11">
        <f t="shared" si="13"/>
        <v>45</v>
      </c>
      <c r="C37" s="11">
        <f t="shared" si="18"/>
        <v>40</v>
      </c>
      <c r="D37" s="11">
        <v>400</v>
      </c>
      <c r="E37" s="11">
        <v>0</v>
      </c>
      <c r="F37" s="8">
        <v>0</v>
      </c>
      <c r="G37" s="8">
        <v>100</v>
      </c>
      <c r="H37" s="8">
        <v>100</v>
      </c>
      <c r="I37" s="8">
        <v>0</v>
      </c>
      <c r="J37" s="8">
        <f t="shared" si="15"/>
        <v>5</v>
      </c>
      <c r="K37" s="15">
        <f>45+N37*5</f>
        <v>45</v>
      </c>
      <c r="L37" s="15">
        <f>40+N37*5</f>
        <v>40</v>
      </c>
      <c r="M37" s="14">
        <v>400</v>
      </c>
      <c r="N37" s="15">
        <v>0</v>
      </c>
      <c r="O37" s="14">
        <v>0</v>
      </c>
      <c r="P37" s="14">
        <f t="shared" si="16"/>
        <v>95</v>
      </c>
      <c r="Q37" s="14">
        <v>100</v>
      </c>
      <c r="R37" s="14">
        <v>1</v>
      </c>
      <c r="S37" s="14">
        <v>0</v>
      </c>
      <c r="T37" s="14">
        <v>0</v>
      </c>
      <c r="U37" s="10">
        <f t="shared" si="17"/>
        <v>20</v>
      </c>
    </row>
    <row r="38" spans="1:21">
      <c r="A38" s="10" t="s">
        <v>174</v>
      </c>
      <c r="B38" s="11">
        <f t="shared" si="13"/>
        <v>45</v>
      </c>
      <c r="C38" s="11">
        <f t="shared" si="20"/>
        <v>0</v>
      </c>
      <c r="D38" s="11">
        <v>400</v>
      </c>
      <c r="E38" s="11">
        <v>0</v>
      </c>
      <c r="F38" s="8">
        <v>0</v>
      </c>
      <c r="G38" s="8">
        <v>100</v>
      </c>
      <c r="H38" s="8">
        <v>100</v>
      </c>
      <c r="I38" s="8">
        <v>0</v>
      </c>
      <c r="J38" s="8">
        <f t="shared" si="15"/>
        <v>35</v>
      </c>
      <c r="K38" s="15">
        <f>50+N38*5</f>
        <v>50</v>
      </c>
      <c r="L38" s="15">
        <f t="shared" ref="L38:L42" si="21">10+N38*5</f>
        <v>10</v>
      </c>
      <c r="M38" s="14">
        <v>400</v>
      </c>
      <c r="N38" s="15">
        <v>0</v>
      </c>
      <c r="O38" s="14">
        <v>0</v>
      </c>
      <c r="P38" s="14">
        <f t="shared" si="16"/>
        <v>65</v>
      </c>
      <c r="Q38" s="14">
        <v>100</v>
      </c>
      <c r="R38" s="14">
        <v>1</v>
      </c>
      <c r="S38" s="14">
        <v>0</v>
      </c>
      <c r="T38" s="14">
        <v>0</v>
      </c>
      <c r="U38" s="10">
        <f t="shared" si="17"/>
        <v>140</v>
      </c>
    </row>
    <row r="39" spans="1:21">
      <c r="A39" s="10" t="s">
        <v>175</v>
      </c>
      <c r="B39" s="11">
        <f t="shared" si="13"/>
        <v>45</v>
      </c>
      <c r="C39" s="11">
        <f t="shared" ref="C39:C44" si="22">40+E39*5</f>
        <v>40</v>
      </c>
      <c r="D39" s="11">
        <v>400</v>
      </c>
      <c r="E39" s="11">
        <v>0</v>
      </c>
      <c r="F39" s="8">
        <v>0</v>
      </c>
      <c r="G39" s="8">
        <v>100</v>
      </c>
      <c r="H39" s="8">
        <v>100</v>
      </c>
      <c r="I39" s="8">
        <v>0</v>
      </c>
      <c r="J39" s="8">
        <f t="shared" si="15"/>
        <v>15</v>
      </c>
      <c r="K39" s="15">
        <f>55+N39*5</f>
        <v>55</v>
      </c>
      <c r="L39" s="15">
        <f>30+N39*5</f>
        <v>30</v>
      </c>
      <c r="M39" s="14">
        <v>500</v>
      </c>
      <c r="N39" s="15">
        <v>0</v>
      </c>
      <c r="O39" s="14">
        <v>0</v>
      </c>
      <c r="P39" s="14">
        <f t="shared" si="16"/>
        <v>85</v>
      </c>
      <c r="Q39" s="14">
        <v>100</v>
      </c>
      <c r="R39" s="14">
        <v>1</v>
      </c>
      <c r="S39" s="14">
        <v>0</v>
      </c>
      <c r="T39" s="14">
        <v>0</v>
      </c>
      <c r="U39" s="10">
        <f t="shared" si="17"/>
        <v>75</v>
      </c>
    </row>
    <row r="40" spans="1:21">
      <c r="A40" s="10" t="s">
        <v>176</v>
      </c>
      <c r="B40" s="11">
        <f t="shared" si="13"/>
        <v>45</v>
      </c>
      <c r="C40" s="11">
        <f t="shared" si="20"/>
        <v>0</v>
      </c>
      <c r="D40" s="11">
        <v>400</v>
      </c>
      <c r="E40" s="11">
        <v>0</v>
      </c>
      <c r="F40" s="8">
        <v>0</v>
      </c>
      <c r="G40" s="8">
        <v>100</v>
      </c>
      <c r="H40" s="8">
        <v>100</v>
      </c>
      <c r="I40" s="8">
        <v>0</v>
      </c>
      <c r="J40" s="8">
        <f t="shared" si="15"/>
        <v>35</v>
      </c>
      <c r="K40" s="14">
        <f>70+N40*10</f>
        <v>70</v>
      </c>
      <c r="L40" s="14">
        <f t="shared" si="21"/>
        <v>10</v>
      </c>
      <c r="M40" s="14">
        <v>500</v>
      </c>
      <c r="N40" s="14">
        <v>0</v>
      </c>
      <c r="O40" s="14">
        <v>0</v>
      </c>
      <c r="P40" s="14">
        <f t="shared" si="16"/>
        <v>65</v>
      </c>
      <c r="Q40" s="14">
        <v>100</v>
      </c>
      <c r="R40" s="14">
        <v>1</v>
      </c>
      <c r="S40" s="14">
        <v>0</v>
      </c>
      <c r="T40" s="14">
        <f>(K40-C40)*1</f>
        <v>70</v>
      </c>
      <c r="U40" s="10">
        <f t="shared" si="17"/>
        <v>-105</v>
      </c>
    </row>
    <row r="41" spans="1:21">
      <c r="A41" s="10" t="s">
        <v>177</v>
      </c>
      <c r="B41" s="11">
        <f t="shared" si="13"/>
        <v>45</v>
      </c>
      <c r="C41" s="11">
        <f t="shared" si="20"/>
        <v>0</v>
      </c>
      <c r="D41" s="11">
        <v>400</v>
      </c>
      <c r="E41" s="11">
        <v>0</v>
      </c>
      <c r="F41" s="8">
        <v>0</v>
      </c>
      <c r="G41" s="8">
        <v>100</v>
      </c>
      <c r="H41" s="8">
        <v>100</v>
      </c>
      <c r="I41" s="8">
        <v>0</v>
      </c>
      <c r="J41" s="8">
        <f t="shared" si="15"/>
        <v>35</v>
      </c>
      <c r="K41" s="14">
        <f>75+N41*10</f>
        <v>75</v>
      </c>
      <c r="L41" s="14">
        <f t="shared" si="21"/>
        <v>10</v>
      </c>
      <c r="M41" s="14">
        <v>600</v>
      </c>
      <c r="N41" s="15">
        <v>0</v>
      </c>
      <c r="O41" s="14">
        <v>0</v>
      </c>
      <c r="P41" s="14">
        <f t="shared" si="16"/>
        <v>65</v>
      </c>
      <c r="Q41" s="14">
        <v>100</v>
      </c>
      <c r="R41" s="14">
        <v>1</v>
      </c>
      <c r="S41" s="14">
        <v>0</v>
      </c>
      <c r="T41" s="14">
        <v>0</v>
      </c>
      <c r="U41" s="10">
        <f t="shared" si="17"/>
        <v>210</v>
      </c>
    </row>
    <row r="42" spans="1:21">
      <c r="A42" s="10" t="s">
        <v>178</v>
      </c>
      <c r="B42" s="11">
        <f t="shared" si="13"/>
        <v>45</v>
      </c>
      <c r="C42" s="11">
        <f t="shared" si="20"/>
        <v>0</v>
      </c>
      <c r="D42" s="11">
        <v>400</v>
      </c>
      <c r="E42" s="11">
        <v>0</v>
      </c>
      <c r="F42" s="8">
        <v>0</v>
      </c>
      <c r="G42" s="8">
        <v>100</v>
      </c>
      <c r="H42" s="8">
        <v>100</v>
      </c>
      <c r="I42" s="8">
        <v>0</v>
      </c>
      <c r="J42" s="8">
        <f>(B42-L42)*(G42/H42)*50%</f>
        <v>17.5</v>
      </c>
      <c r="K42" s="14">
        <f>55+N42*5</f>
        <v>55</v>
      </c>
      <c r="L42" s="14">
        <f t="shared" si="21"/>
        <v>10</v>
      </c>
      <c r="M42" s="14">
        <v>600</v>
      </c>
      <c r="N42" s="14">
        <v>0</v>
      </c>
      <c r="O42" s="14">
        <v>0</v>
      </c>
      <c r="P42" s="14">
        <f t="shared" si="16"/>
        <v>82.5</v>
      </c>
      <c r="Q42" s="14">
        <f>100+N42*25</f>
        <v>100</v>
      </c>
      <c r="R42" s="14">
        <v>1</v>
      </c>
      <c r="S42" s="14">
        <v>0</v>
      </c>
      <c r="T42" s="14">
        <v>0</v>
      </c>
      <c r="U42" s="10">
        <f t="shared" si="17"/>
        <v>105</v>
      </c>
    </row>
    <row r="43" spans="1:21">
      <c r="A43" s="10" t="s">
        <v>179</v>
      </c>
      <c r="B43" s="11">
        <f t="shared" si="13"/>
        <v>45</v>
      </c>
      <c r="C43" s="11">
        <f t="shared" si="22"/>
        <v>40</v>
      </c>
      <c r="D43" s="11">
        <v>400</v>
      </c>
      <c r="E43" s="11">
        <v>0</v>
      </c>
      <c r="F43" s="8">
        <v>0</v>
      </c>
      <c r="G43" s="8">
        <v>100</v>
      </c>
      <c r="H43" s="8">
        <v>100</v>
      </c>
      <c r="I43" s="8">
        <v>0</v>
      </c>
      <c r="J43" s="8">
        <f t="shared" si="15"/>
        <v>25</v>
      </c>
      <c r="K43" s="14">
        <f>55+N43*10</f>
        <v>55</v>
      </c>
      <c r="L43" s="14">
        <f>20+N43*5</f>
        <v>20</v>
      </c>
      <c r="M43" s="14">
        <v>600</v>
      </c>
      <c r="N43" s="15">
        <v>0</v>
      </c>
      <c r="O43" s="14">
        <v>0</v>
      </c>
      <c r="P43" s="14">
        <f t="shared" si="16"/>
        <v>75</v>
      </c>
      <c r="Q43" s="14">
        <f>100+N43*10</f>
        <v>100</v>
      </c>
      <c r="R43" s="14">
        <v>1</v>
      </c>
      <c r="S43" s="14">
        <v>0</v>
      </c>
      <c r="T43" s="14">
        <v>0</v>
      </c>
      <c r="U43" s="10">
        <f t="shared" si="17"/>
        <v>150</v>
      </c>
    </row>
    <row r="44" spans="1:21">
      <c r="A44" s="10" t="s">
        <v>180</v>
      </c>
      <c r="B44" s="11">
        <f t="shared" si="13"/>
        <v>45</v>
      </c>
      <c r="C44" s="11">
        <f t="shared" si="22"/>
        <v>40</v>
      </c>
      <c r="D44" s="11">
        <v>400</v>
      </c>
      <c r="E44" s="11">
        <v>0</v>
      </c>
      <c r="F44" s="8">
        <v>0</v>
      </c>
      <c r="G44" s="8">
        <v>100</v>
      </c>
      <c r="H44" s="8">
        <v>100</v>
      </c>
      <c r="I44" s="8">
        <v>0</v>
      </c>
      <c r="J44" s="8">
        <f t="shared" si="15"/>
        <v>15</v>
      </c>
      <c r="K44" s="14">
        <f>40+N44*5</f>
        <v>40</v>
      </c>
      <c r="L44" s="14">
        <f>30+N44*5</f>
        <v>30</v>
      </c>
      <c r="M44" s="14">
        <v>600</v>
      </c>
      <c r="N44" s="14">
        <v>0</v>
      </c>
      <c r="O44" s="14">
        <v>0</v>
      </c>
      <c r="P44" s="14">
        <f t="shared" si="16"/>
        <v>85</v>
      </c>
      <c r="Q44" s="14">
        <v>100</v>
      </c>
      <c r="R44" s="14">
        <v>1</v>
      </c>
      <c r="S44" s="14">
        <v>0</v>
      </c>
      <c r="T44" s="14">
        <v>0</v>
      </c>
      <c r="U44" s="10">
        <f t="shared" si="17"/>
        <v>90</v>
      </c>
    </row>
    <row r="45" spans="1:21">
      <c r="A45" s="10" t="s">
        <v>181</v>
      </c>
      <c r="B45" s="11">
        <f t="shared" si="13"/>
        <v>45</v>
      </c>
      <c r="C45" s="11">
        <f t="shared" ref="C45:C49" si="23">0+E45*5</f>
        <v>0</v>
      </c>
      <c r="D45" s="11">
        <v>400</v>
      </c>
      <c r="E45" s="11">
        <v>0</v>
      </c>
      <c r="F45" s="8">
        <v>0</v>
      </c>
      <c r="G45" s="8">
        <v>100</v>
      </c>
      <c r="H45" s="8">
        <v>100</v>
      </c>
      <c r="I45" s="8">
        <v>0</v>
      </c>
      <c r="J45" s="8">
        <f t="shared" si="15"/>
        <v>40</v>
      </c>
      <c r="K45" s="14">
        <f>60+N45*5</f>
        <v>60</v>
      </c>
      <c r="L45" s="14">
        <f>5+N45*5</f>
        <v>5</v>
      </c>
      <c r="M45" s="14">
        <v>800</v>
      </c>
      <c r="N45" s="15">
        <v>0</v>
      </c>
      <c r="O45" s="14">
        <v>0</v>
      </c>
      <c r="P45" s="14">
        <f t="shared" si="16"/>
        <v>60</v>
      </c>
      <c r="Q45" s="14">
        <v>100</v>
      </c>
      <c r="R45" s="14">
        <v>1</v>
      </c>
      <c r="S45" s="14">
        <v>0</v>
      </c>
      <c r="T45" s="14">
        <v>0</v>
      </c>
      <c r="U45" s="10">
        <f t="shared" si="17"/>
        <v>320</v>
      </c>
    </row>
    <row r="46" spans="1:21">
      <c r="A46" s="10" t="s">
        <v>182</v>
      </c>
      <c r="B46" s="11">
        <f t="shared" si="13"/>
        <v>45</v>
      </c>
      <c r="C46" s="11">
        <f t="shared" si="23"/>
        <v>0</v>
      </c>
      <c r="D46" s="11">
        <v>400</v>
      </c>
      <c r="E46" s="11">
        <v>0</v>
      </c>
      <c r="F46" s="8">
        <v>0</v>
      </c>
      <c r="G46" s="8">
        <v>100</v>
      </c>
      <c r="H46" s="8">
        <v>100</v>
      </c>
      <c r="I46" s="8">
        <v>0</v>
      </c>
      <c r="J46" s="8">
        <f t="shared" si="15"/>
        <v>35</v>
      </c>
      <c r="K46" s="14">
        <f>60+N46*10</f>
        <v>60</v>
      </c>
      <c r="L46" s="14">
        <f>10+N46*5</f>
        <v>10</v>
      </c>
      <c r="M46" s="14">
        <v>800</v>
      </c>
      <c r="N46" s="14">
        <v>0</v>
      </c>
      <c r="O46" s="14">
        <v>0</v>
      </c>
      <c r="P46" s="14">
        <f t="shared" si="16"/>
        <v>65</v>
      </c>
      <c r="Q46" s="14">
        <v>100</v>
      </c>
      <c r="R46" s="14">
        <v>1</v>
      </c>
      <c r="S46" s="14">
        <v>0</v>
      </c>
      <c r="T46" s="14">
        <v>0</v>
      </c>
      <c r="U46" s="10">
        <f t="shared" si="17"/>
        <v>280</v>
      </c>
    </row>
    <row r="47" spans="1:21">
      <c r="A47" s="10" t="s">
        <v>183</v>
      </c>
      <c r="B47" s="11">
        <f t="shared" si="13"/>
        <v>45</v>
      </c>
      <c r="C47" s="11">
        <f>40+E47*5</f>
        <v>40</v>
      </c>
      <c r="D47" s="11">
        <v>400</v>
      </c>
      <c r="E47" s="11">
        <v>0</v>
      </c>
      <c r="F47" s="8">
        <v>0</v>
      </c>
      <c r="G47" s="8">
        <v>100</v>
      </c>
      <c r="H47" s="8">
        <v>100</v>
      </c>
      <c r="I47" s="8">
        <v>0</v>
      </c>
      <c r="J47" s="8">
        <f>(B47-L47)*(G47/H47)*50%</f>
        <v>10</v>
      </c>
      <c r="K47" s="14">
        <f>70+N47*10</f>
        <v>70</v>
      </c>
      <c r="L47" s="14">
        <f>25+N47*5</f>
        <v>25</v>
      </c>
      <c r="M47" s="14">
        <v>1000</v>
      </c>
      <c r="N47" s="15">
        <v>0</v>
      </c>
      <c r="O47" s="14">
        <v>0</v>
      </c>
      <c r="P47" s="14">
        <f t="shared" si="16"/>
        <v>90</v>
      </c>
      <c r="Q47" s="14">
        <v>100</v>
      </c>
      <c r="R47" s="14">
        <v>1</v>
      </c>
      <c r="S47" s="14">
        <v>0</v>
      </c>
      <c r="T47" s="14">
        <v>0</v>
      </c>
      <c r="U47" s="10">
        <f t="shared" si="17"/>
        <v>100</v>
      </c>
    </row>
    <row r="48" spans="1:21">
      <c r="A48" s="10" t="s">
        <v>184</v>
      </c>
      <c r="B48" s="11">
        <f t="shared" si="13"/>
        <v>45</v>
      </c>
      <c r="C48" s="11">
        <f t="shared" si="23"/>
        <v>0</v>
      </c>
      <c r="D48" s="11">
        <v>400</v>
      </c>
      <c r="E48" s="11">
        <v>0</v>
      </c>
      <c r="F48" s="8">
        <v>0</v>
      </c>
      <c r="G48" s="8">
        <v>100</v>
      </c>
      <c r="H48" s="8">
        <v>100</v>
      </c>
      <c r="I48" s="8">
        <v>0</v>
      </c>
      <c r="J48" s="8">
        <f t="shared" si="15"/>
        <v>25</v>
      </c>
      <c r="K48" s="14">
        <f>60+N48*10</f>
        <v>60</v>
      </c>
      <c r="L48" s="14">
        <f>20+N48*5</f>
        <v>20</v>
      </c>
      <c r="M48" s="14">
        <v>600</v>
      </c>
      <c r="N48" s="14">
        <v>0</v>
      </c>
      <c r="O48" s="14">
        <v>0</v>
      </c>
      <c r="P48" s="14">
        <f t="shared" si="16"/>
        <v>75</v>
      </c>
      <c r="Q48" s="14">
        <v>100</v>
      </c>
      <c r="R48" s="14">
        <v>1</v>
      </c>
      <c r="S48" s="14">
        <v>0</v>
      </c>
      <c r="T48" s="14">
        <v>0</v>
      </c>
      <c r="U48" s="10">
        <f t="shared" si="17"/>
        <v>150</v>
      </c>
    </row>
    <row r="49" spans="1:21">
      <c r="A49" s="10" t="s">
        <v>185</v>
      </c>
      <c r="B49" s="11">
        <f t="shared" si="13"/>
        <v>45</v>
      </c>
      <c r="C49" s="11">
        <f t="shared" si="23"/>
        <v>0</v>
      </c>
      <c r="D49" s="11">
        <v>400</v>
      </c>
      <c r="E49" s="11">
        <v>0</v>
      </c>
      <c r="F49" s="8">
        <v>0</v>
      </c>
      <c r="G49" s="8">
        <v>100</v>
      </c>
      <c r="H49" s="8">
        <v>100</v>
      </c>
      <c r="I49" s="8">
        <v>0</v>
      </c>
      <c r="J49" s="8">
        <f t="shared" si="15"/>
        <v>40</v>
      </c>
      <c r="K49" s="14">
        <f>40+N49*10</f>
        <v>40</v>
      </c>
      <c r="L49" s="14">
        <f>5+N49*5</f>
        <v>5</v>
      </c>
      <c r="M49" s="14">
        <v>150</v>
      </c>
      <c r="N49" s="15">
        <v>0</v>
      </c>
      <c r="O49" s="14">
        <v>0</v>
      </c>
      <c r="P49" s="14">
        <f t="shared" si="16"/>
        <v>60</v>
      </c>
      <c r="Q49" s="14">
        <v>100</v>
      </c>
      <c r="R49" s="14">
        <v>1</v>
      </c>
      <c r="S49" s="14">
        <v>0</v>
      </c>
      <c r="T49" s="14">
        <v>0</v>
      </c>
      <c r="U49" s="10">
        <f t="shared" si="17"/>
        <v>60</v>
      </c>
    </row>
  </sheetData>
  <mergeCells count="16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B28:J28"/>
    <mergeCell ref="K28:T28"/>
    <mergeCell ref="U5:U6"/>
    <mergeCell ref="U28:U29"/>
  </mergeCells>
  <pageMargins left="0.75" right="0.75" top="1" bottom="1" header="0.5" footer="0.5"/>
  <headerFooter/>
  <ignoredErrors>
    <ignoredError sqref="J42 J47 T24 T17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zoomScale="90" zoomScaleNormal="90" topLeftCell="I1" workbookViewId="0">
      <selection activeCell="L7" sqref="L7:L26"/>
    </sheetView>
  </sheetViews>
  <sheetFormatPr defaultColWidth="14" defaultRowHeight="15"/>
  <cols>
    <col min="1" max="1" width="15.6636363636364" style="1" customWidth="1"/>
    <col min="2" max="3" width="8.33636363636364" style="1" customWidth="1"/>
    <col min="4" max="7" width="6.10909090909091" style="1" customWidth="1"/>
    <col min="8" max="8" width="8.33636363636364" style="1" customWidth="1"/>
    <col min="9" max="9" width="18.1090909090909" style="1" customWidth="1"/>
    <col min="10" max="10" width="10.6636363636364" style="1" customWidth="1"/>
    <col min="11" max="12" width="8.33636363636364" style="1" customWidth="1"/>
    <col min="13" max="16" width="6.10909090909091" style="1" customWidth="1"/>
    <col min="17" max="17" width="8.33636363636364" style="1" customWidth="1"/>
    <col min="18" max="18" width="10.6636363636364" style="1" customWidth="1"/>
    <col min="19" max="19" width="18.1090909090909" style="1" customWidth="1"/>
    <col min="20" max="21" width="10.6636363636364" style="1" customWidth="1"/>
    <col min="22" max="22" width="38.1090909090909" style="1" customWidth="1"/>
    <col min="23" max="23" width="15.6636363636364" style="1" customWidth="1"/>
    <col min="24" max="16384" width="14" style="1"/>
  </cols>
  <sheetData>
    <row r="1" s="1" customForma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="1" customFormat="1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" customFormat="1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T4" s="16" t="s">
        <v>6</v>
      </c>
      <c r="U4" s="17"/>
    </row>
    <row r="5" s="1" customFormat="1" spans="1:21">
      <c r="A5" s="7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="1" customFormat="1" spans="1:21">
      <c r="A6" s="9"/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="1" customFormat="1" spans="1:21">
      <c r="A7" s="10" t="s">
        <v>186</v>
      </c>
      <c r="B7" s="11">
        <f>50+E7*5</f>
        <v>50</v>
      </c>
      <c r="C7" s="11">
        <f>10+E7*5</f>
        <v>10</v>
      </c>
      <c r="D7" s="11">
        <v>400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 t="shared" ref="J7:J26" si="0">(B7-L7)*(G7/H7)</f>
        <v>45</v>
      </c>
      <c r="K7" s="15">
        <f>55+N7*10</f>
        <v>55</v>
      </c>
      <c r="L7" s="15">
        <f t="shared" ref="L7:L10" si="1">5+N7*5</f>
        <v>5</v>
      </c>
      <c r="M7" s="15">
        <v>150</v>
      </c>
      <c r="N7" s="15">
        <v>0</v>
      </c>
      <c r="O7" s="14">
        <v>0</v>
      </c>
      <c r="P7" s="14">
        <f t="shared" ref="P7:P26" si="2">Q7-J7</f>
        <v>55</v>
      </c>
      <c r="Q7" s="14">
        <v>100</v>
      </c>
      <c r="R7" s="14">
        <v>1</v>
      </c>
      <c r="S7" s="14">
        <v>0</v>
      </c>
      <c r="T7" s="14">
        <f t="shared" ref="T7:T9" si="3">(K7-C7)*(P7/Q7)</f>
        <v>24.75</v>
      </c>
      <c r="U7" s="10">
        <f t="shared" ref="U7:U26" si="4">(M7*(N7/3+1)*(J7*R7+S7)-(D7*(E7/3+1))*(T7+I7))/100</f>
        <v>-31.5</v>
      </c>
    </row>
    <row r="8" s="1" customFormat="1" spans="1:21">
      <c r="A8" s="10" t="s">
        <v>187</v>
      </c>
      <c r="B8" s="11">
        <f t="shared" ref="B8:B26" si="5">50+E8*5</f>
        <v>50</v>
      </c>
      <c r="C8" s="11">
        <f t="shared" ref="C8:C26" si="6">10+E8*5</f>
        <v>10</v>
      </c>
      <c r="D8" s="11">
        <v>400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si="0"/>
        <v>45</v>
      </c>
      <c r="K8" s="15">
        <f t="shared" ref="K8:K13" si="7">50+N8*10</f>
        <v>50</v>
      </c>
      <c r="L8" s="15">
        <f t="shared" si="1"/>
        <v>5</v>
      </c>
      <c r="M8" s="14">
        <v>200</v>
      </c>
      <c r="N8" s="15">
        <v>0</v>
      </c>
      <c r="O8" s="14">
        <v>0</v>
      </c>
      <c r="P8" s="14">
        <f t="shared" si="2"/>
        <v>55</v>
      </c>
      <c r="Q8" s="14">
        <v>100</v>
      </c>
      <c r="R8" s="14">
        <v>1</v>
      </c>
      <c r="S8" s="14">
        <v>0</v>
      </c>
      <c r="T8" s="14">
        <f t="shared" si="3"/>
        <v>22</v>
      </c>
      <c r="U8" s="10">
        <f t="shared" si="4"/>
        <v>2</v>
      </c>
    </row>
    <row r="9" s="1" customFormat="1" spans="1:21">
      <c r="A9" s="10" t="s">
        <v>188</v>
      </c>
      <c r="B9" s="11">
        <f t="shared" si="5"/>
        <v>50</v>
      </c>
      <c r="C9" s="11">
        <f t="shared" si="6"/>
        <v>10</v>
      </c>
      <c r="D9" s="11">
        <v>400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0"/>
        <v>50</v>
      </c>
      <c r="K9" s="15">
        <f>40+N9*10</f>
        <v>40</v>
      </c>
      <c r="L9" s="15">
        <f t="shared" ref="L9:L14" si="8">0+N9*5</f>
        <v>0</v>
      </c>
      <c r="M9" s="14">
        <v>200</v>
      </c>
      <c r="N9" s="15">
        <v>0</v>
      </c>
      <c r="O9" s="14">
        <v>0</v>
      </c>
      <c r="P9" s="14">
        <f t="shared" si="2"/>
        <v>50</v>
      </c>
      <c r="Q9" s="14">
        <v>100</v>
      </c>
      <c r="R9" s="14">
        <v>1</v>
      </c>
      <c r="S9" s="14">
        <v>0</v>
      </c>
      <c r="T9" s="14">
        <f t="shared" si="3"/>
        <v>15</v>
      </c>
      <c r="U9" s="10">
        <f t="shared" si="4"/>
        <v>40</v>
      </c>
    </row>
    <row r="10" s="1" customFormat="1" spans="1:21">
      <c r="A10" s="10" t="s">
        <v>189</v>
      </c>
      <c r="B10" s="11">
        <f t="shared" si="5"/>
        <v>50</v>
      </c>
      <c r="C10" s="11">
        <f t="shared" si="6"/>
        <v>10</v>
      </c>
      <c r="D10" s="11">
        <v>400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0"/>
        <v>45</v>
      </c>
      <c r="K10" s="15">
        <f>45+N10*10</f>
        <v>45</v>
      </c>
      <c r="L10" s="15">
        <f t="shared" si="1"/>
        <v>5</v>
      </c>
      <c r="M10" s="14">
        <v>250</v>
      </c>
      <c r="N10" s="15">
        <v>0</v>
      </c>
      <c r="O10" s="14">
        <v>0</v>
      </c>
      <c r="P10" s="14">
        <f t="shared" si="2"/>
        <v>55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4"/>
        <v>112.5</v>
      </c>
    </row>
    <row r="11" s="1" customFormat="1" spans="1:21">
      <c r="A11" s="10" t="s">
        <v>190</v>
      </c>
      <c r="B11" s="11">
        <f t="shared" si="5"/>
        <v>50</v>
      </c>
      <c r="C11" s="11">
        <f t="shared" si="6"/>
        <v>10</v>
      </c>
      <c r="D11" s="11">
        <v>400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0"/>
        <v>10</v>
      </c>
      <c r="K11" s="15">
        <f t="shared" si="7"/>
        <v>50</v>
      </c>
      <c r="L11" s="15">
        <f>40+N11*5</f>
        <v>40</v>
      </c>
      <c r="M11" s="14">
        <v>250</v>
      </c>
      <c r="N11" s="15">
        <v>0</v>
      </c>
      <c r="O11" s="14">
        <v>0</v>
      </c>
      <c r="P11" s="14">
        <f t="shared" si="2"/>
        <v>90</v>
      </c>
      <c r="Q11" s="14">
        <f>100+N11*5</f>
        <v>100</v>
      </c>
      <c r="R11" s="14">
        <v>1</v>
      </c>
      <c r="S11" s="14">
        <v>0</v>
      </c>
      <c r="T11" s="14">
        <f t="shared" ref="T11:T16" si="9">(K11-C11)*(P11/Q11)</f>
        <v>36</v>
      </c>
      <c r="U11" s="10">
        <f t="shared" si="4"/>
        <v>-119</v>
      </c>
    </row>
    <row r="12" s="1" customFormat="1" spans="1:21">
      <c r="A12" s="10" t="s">
        <v>191</v>
      </c>
      <c r="B12" s="11">
        <f t="shared" si="5"/>
        <v>50</v>
      </c>
      <c r="C12" s="11">
        <f t="shared" si="6"/>
        <v>10</v>
      </c>
      <c r="D12" s="11">
        <v>400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0"/>
        <v>35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2"/>
        <v>65</v>
      </c>
      <c r="Q12" s="14">
        <v>100</v>
      </c>
      <c r="R12" s="14">
        <v>1</v>
      </c>
      <c r="S12" s="14">
        <v>0</v>
      </c>
      <c r="T12" s="14">
        <f t="shared" si="9"/>
        <v>32.5</v>
      </c>
      <c r="U12" s="10">
        <f t="shared" si="4"/>
        <v>-25</v>
      </c>
    </row>
    <row r="13" s="1" customFormat="1" spans="1:21">
      <c r="A13" s="10" t="s">
        <v>192</v>
      </c>
      <c r="B13" s="11">
        <f t="shared" si="5"/>
        <v>50</v>
      </c>
      <c r="C13" s="11">
        <f t="shared" si="6"/>
        <v>10</v>
      </c>
      <c r="D13" s="11">
        <v>400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0"/>
        <v>50</v>
      </c>
      <c r="K13" s="15">
        <f t="shared" si="7"/>
        <v>50</v>
      </c>
      <c r="L13" s="15">
        <f t="shared" si="8"/>
        <v>0</v>
      </c>
      <c r="M13" s="14">
        <v>300</v>
      </c>
      <c r="N13" s="15">
        <v>0</v>
      </c>
      <c r="O13" s="14">
        <v>0</v>
      </c>
      <c r="P13" s="14">
        <f t="shared" si="2"/>
        <v>50</v>
      </c>
      <c r="Q13" s="14">
        <v>100</v>
      </c>
      <c r="R13" s="14">
        <v>1</v>
      </c>
      <c r="S13" s="14">
        <v>0</v>
      </c>
      <c r="T13" s="14">
        <f t="shared" si="9"/>
        <v>20</v>
      </c>
      <c r="U13" s="10">
        <f t="shared" si="4"/>
        <v>70</v>
      </c>
    </row>
    <row r="14" s="1" customFormat="1" spans="1:21">
      <c r="A14" s="10" t="s">
        <v>193</v>
      </c>
      <c r="B14" s="11">
        <f t="shared" si="5"/>
        <v>50</v>
      </c>
      <c r="C14" s="11">
        <f t="shared" si="6"/>
        <v>10</v>
      </c>
      <c r="D14" s="11">
        <v>400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0"/>
        <v>50</v>
      </c>
      <c r="K14" s="15">
        <f>45+N14*5</f>
        <v>45</v>
      </c>
      <c r="L14" s="15">
        <f t="shared" si="8"/>
        <v>0</v>
      </c>
      <c r="M14" s="14">
        <v>400</v>
      </c>
      <c r="N14" s="15">
        <v>0</v>
      </c>
      <c r="O14" s="14">
        <v>0</v>
      </c>
      <c r="P14" s="14">
        <f t="shared" si="2"/>
        <v>50</v>
      </c>
      <c r="Q14" s="14">
        <v>100</v>
      </c>
      <c r="R14" s="14">
        <v>1</v>
      </c>
      <c r="S14" s="14">
        <v>0</v>
      </c>
      <c r="T14" s="14">
        <f t="shared" si="9"/>
        <v>17.5</v>
      </c>
      <c r="U14" s="10">
        <f t="shared" si="4"/>
        <v>130</v>
      </c>
    </row>
    <row r="15" s="1" customFormat="1" spans="1:21">
      <c r="A15" s="10" t="s">
        <v>194</v>
      </c>
      <c r="B15" s="11">
        <f t="shared" si="5"/>
        <v>50</v>
      </c>
      <c r="C15" s="11">
        <f t="shared" si="6"/>
        <v>10</v>
      </c>
      <c r="D15" s="11">
        <v>400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0"/>
        <v>40</v>
      </c>
      <c r="K15" s="15">
        <f>50+N15*5</f>
        <v>50</v>
      </c>
      <c r="L15" s="15">
        <f>10+N15*5</f>
        <v>10</v>
      </c>
      <c r="M15" s="14">
        <v>400</v>
      </c>
      <c r="N15" s="15">
        <v>0</v>
      </c>
      <c r="O15" s="14">
        <v>0</v>
      </c>
      <c r="P15" s="14">
        <f t="shared" si="2"/>
        <v>60</v>
      </c>
      <c r="Q15" s="14">
        <v>100</v>
      </c>
      <c r="R15" s="14">
        <v>1</v>
      </c>
      <c r="S15" s="14">
        <v>0</v>
      </c>
      <c r="T15" s="14">
        <f t="shared" si="9"/>
        <v>24</v>
      </c>
      <c r="U15" s="10">
        <f t="shared" si="4"/>
        <v>64</v>
      </c>
    </row>
    <row r="16" s="1" customFormat="1" spans="1:21">
      <c r="A16" s="10" t="s">
        <v>195</v>
      </c>
      <c r="B16" s="11">
        <f t="shared" si="5"/>
        <v>50</v>
      </c>
      <c r="C16" s="11">
        <f t="shared" si="6"/>
        <v>10</v>
      </c>
      <c r="D16" s="11">
        <v>400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0"/>
        <v>30</v>
      </c>
      <c r="K16" s="15">
        <f>55+N16*5</f>
        <v>55</v>
      </c>
      <c r="L16" s="15">
        <f t="shared" ref="L16:L18" si="10">20+N16*5</f>
        <v>20</v>
      </c>
      <c r="M16" s="14">
        <v>500</v>
      </c>
      <c r="N16" s="15">
        <v>0</v>
      </c>
      <c r="O16" s="14">
        <v>0</v>
      </c>
      <c r="P16" s="14">
        <f t="shared" si="2"/>
        <v>70</v>
      </c>
      <c r="Q16" s="14">
        <v>100</v>
      </c>
      <c r="R16" s="14">
        <v>1</v>
      </c>
      <c r="S16" s="14">
        <v>0</v>
      </c>
      <c r="T16" s="14">
        <f t="shared" si="9"/>
        <v>31.5</v>
      </c>
      <c r="U16" s="10">
        <f t="shared" si="4"/>
        <v>24</v>
      </c>
    </row>
    <row r="17" s="1" customFormat="1" spans="1:21">
      <c r="A17" s="10" t="s">
        <v>196</v>
      </c>
      <c r="B17" s="11">
        <f t="shared" si="5"/>
        <v>50</v>
      </c>
      <c r="C17" s="11">
        <f t="shared" si="6"/>
        <v>10</v>
      </c>
      <c r="D17" s="11">
        <v>400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0"/>
        <v>30</v>
      </c>
      <c r="K17" s="14">
        <f>70+N17*10</f>
        <v>70</v>
      </c>
      <c r="L17" s="14">
        <f t="shared" si="10"/>
        <v>20</v>
      </c>
      <c r="M17" s="14">
        <v>500</v>
      </c>
      <c r="N17" s="14">
        <v>0</v>
      </c>
      <c r="O17" s="14">
        <v>0</v>
      </c>
      <c r="P17" s="14">
        <f t="shared" si="2"/>
        <v>70</v>
      </c>
      <c r="Q17" s="14">
        <v>100</v>
      </c>
      <c r="R17" s="14">
        <v>1</v>
      </c>
      <c r="S17" s="14">
        <v>0</v>
      </c>
      <c r="T17" s="14">
        <f>(K17-C17)*1</f>
        <v>60</v>
      </c>
      <c r="U17" s="10">
        <f t="shared" si="4"/>
        <v>-90</v>
      </c>
    </row>
    <row r="18" s="1" customFormat="1" spans="1:21">
      <c r="A18" s="10" t="s">
        <v>197</v>
      </c>
      <c r="B18" s="11">
        <f t="shared" si="5"/>
        <v>50</v>
      </c>
      <c r="C18" s="11">
        <f t="shared" si="6"/>
        <v>10</v>
      </c>
      <c r="D18" s="11">
        <v>400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0"/>
        <v>30</v>
      </c>
      <c r="K18" s="14">
        <f>75+N18*10</f>
        <v>75</v>
      </c>
      <c r="L18" s="14">
        <f t="shared" si="10"/>
        <v>20</v>
      </c>
      <c r="M18" s="14">
        <v>600</v>
      </c>
      <c r="N18" s="15">
        <v>0</v>
      </c>
      <c r="O18" s="14">
        <v>0</v>
      </c>
      <c r="P18" s="14">
        <f t="shared" si="2"/>
        <v>70</v>
      </c>
      <c r="Q18" s="14">
        <v>100</v>
      </c>
      <c r="R18" s="14">
        <v>1</v>
      </c>
      <c r="S18" s="14">
        <v>0</v>
      </c>
      <c r="T18" s="14">
        <f t="shared" ref="T18:T21" si="11">(K18-C18)*(P18/Q18)</f>
        <v>45.5</v>
      </c>
      <c r="U18" s="10">
        <f t="shared" si="4"/>
        <v>-2</v>
      </c>
    </row>
    <row r="19" s="1" customFormat="1" spans="1:21">
      <c r="A19" s="10" t="s">
        <v>198</v>
      </c>
      <c r="B19" s="11">
        <f t="shared" si="5"/>
        <v>50</v>
      </c>
      <c r="C19" s="11">
        <f t="shared" si="6"/>
        <v>10</v>
      </c>
      <c r="D19" s="11">
        <v>400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0"/>
        <v>20</v>
      </c>
      <c r="K19" s="14">
        <f>55+N19*5</f>
        <v>55</v>
      </c>
      <c r="L19" s="14">
        <f>30+N19*5</f>
        <v>30</v>
      </c>
      <c r="M19" s="14">
        <v>600</v>
      </c>
      <c r="N19" s="14">
        <v>0</v>
      </c>
      <c r="O19" s="14">
        <v>0</v>
      </c>
      <c r="P19" s="14">
        <f t="shared" si="2"/>
        <v>80</v>
      </c>
      <c r="Q19" s="14">
        <f>100+N19*25</f>
        <v>100</v>
      </c>
      <c r="R19" s="14">
        <v>1</v>
      </c>
      <c r="S19" s="14">
        <v>0</v>
      </c>
      <c r="T19" s="14">
        <f t="shared" si="11"/>
        <v>36</v>
      </c>
      <c r="U19" s="10">
        <f t="shared" si="4"/>
        <v>-24</v>
      </c>
    </row>
    <row r="20" s="1" customFormat="1" spans="1:21">
      <c r="A20" s="10" t="s">
        <v>199</v>
      </c>
      <c r="B20" s="11">
        <f t="shared" si="5"/>
        <v>50</v>
      </c>
      <c r="C20" s="11">
        <f t="shared" si="6"/>
        <v>10</v>
      </c>
      <c r="D20" s="11">
        <v>400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0"/>
        <v>40</v>
      </c>
      <c r="K20" s="14">
        <f>55+N20*10</f>
        <v>55</v>
      </c>
      <c r="L20" s="14">
        <f>10+N20*5</f>
        <v>10</v>
      </c>
      <c r="M20" s="14">
        <v>600</v>
      </c>
      <c r="N20" s="15">
        <v>0</v>
      </c>
      <c r="O20" s="14">
        <v>0</v>
      </c>
      <c r="P20" s="14">
        <f t="shared" si="2"/>
        <v>60</v>
      </c>
      <c r="Q20" s="14">
        <f>100+N20*10</f>
        <v>100</v>
      </c>
      <c r="R20" s="14">
        <v>1</v>
      </c>
      <c r="S20" s="14">
        <v>0</v>
      </c>
      <c r="T20" s="14">
        <f t="shared" si="11"/>
        <v>27</v>
      </c>
      <c r="U20" s="10">
        <f t="shared" si="4"/>
        <v>132</v>
      </c>
    </row>
    <row r="21" s="1" customFormat="1" spans="1:21">
      <c r="A21" s="10" t="s">
        <v>200</v>
      </c>
      <c r="B21" s="11">
        <f t="shared" si="5"/>
        <v>50</v>
      </c>
      <c r="C21" s="11">
        <f t="shared" si="6"/>
        <v>10</v>
      </c>
      <c r="D21" s="11">
        <v>400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0"/>
        <v>50</v>
      </c>
      <c r="K21" s="14">
        <f>40+N21*5</f>
        <v>40</v>
      </c>
      <c r="L21" s="14">
        <f>0+N21*5</f>
        <v>0</v>
      </c>
      <c r="M21" s="14">
        <v>600</v>
      </c>
      <c r="N21" s="14">
        <v>0</v>
      </c>
      <c r="O21" s="14">
        <v>0</v>
      </c>
      <c r="P21" s="14">
        <f t="shared" si="2"/>
        <v>50</v>
      </c>
      <c r="Q21" s="14">
        <v>100</v>
      </c>
      <c r="R21" s="14">
        <v>1</v>
      </c>
      <c r="S21" s="14">
        <v>0</v>
      </c>
      <c r="T21" s="14">
        <f t="shared" si="11"/>
        <v>15</v>
      </c>
      <c r="U21" s="10">
        <f t="shared" si="4"/>
        <v>240</v>
      </c>
    </row>
    <row r="22" s="1" customFormat="1" spans="1:21">
      <c r="A22" s="10" t="s">
        <v>201</v>
      </c>
      <c r="B22" s="11">
        <f t="shared" si="5"/>
        <v>50</v>
      </c>
      <c r="C22" s="11">
        <f t="shared" si="6"/>
        <v>10</v>
      </c>
      <c r="D22" s="11">
        <v>400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0"/>
        <v>45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2"/>
        <v>55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4"/>
        <v>360</v>
      </c>
    </row>
    <row r="23" s="1" customFormat="1" spans="1:21">
      <c r="A23" s="10" t="s">
        <v>202</v>
      </c>
      <c r="B23" s="11">
        <f t="shared" si="5"/>
        <v>50</v>
      </c>
      <c r="C23" s="11">
        <f t="shared" si="6"/>
        <v>10</v>
      </c>
      <c r="D23" s="11">
        <v>400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0"/>
        <v>30</v>
      </c>
      <c r="K23" s="14">
        <f>60+N23*10</f>
        <v>60</v>
      </c>
      <c r="L23" s="14">
        <f>20+N23*5</f>
        <v>20</v>
      </c>
      <c r="M23" s="14">
        <v>800</v>
      </c>
      <c r="N23" s="14">
        <v>0</v>
      </c>
      <c r="O23" s="14">
        <v>0</v>
      </c>
      <c r="P23" s="14">
        <f t="shared" si="2"/>
        <v>70</v>
      </c>
      <c r="Q23" s="14">
        <v>100</v>
      </c>
      <c r="R23" s="14">
        <v>1</v>
      </c>
      <c r="S23" s="14">
        <v>0</v>
      </c>
      <c r="T23" s="14">
        <f t="shared" ref="T23:T26" si="12">(K23-C23)*(P23/Q23)</f>
        <v>35</v>
      </c>
      <c r="U23" s="10">
        <f t="shared" si="4"/>
        <v>100</v>
      </c>
    </row>
    <row r="24" s="1" customFormat="1" spans="1:21">
      <c r="A24" s="10" t="s">
        <v>203</v>
      </c>
      <c r="B24" s="11">
        <f t="shared" si="5"/>
        <v>50</v>
      </c>
      <c r="C24" s="11">
        <f t="shared" si="6"/>
        <v>10</v>
      </c>
      <c r="D24" s="11">
        <v>400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0"/>
        <v>25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2"/>
        <v>75</v>
      </c>
      <c r="Q24" s="14">
        <v>100</v>
      </c>
      <c r="R24" s="14">
        <v>1</v>
      </c>
      <c r="S24" s="14">
        <v>0</v>
      </c>
      <c r="T24" s="14">
        <f>((K24-C24)*(P24/Q24))*1.5</f>
        <v>67.5</v>
      </c>
      <c r="U24" s="10">
        <f t="shared" si="4"/>
        <v>-20</v>
      </c>
    </row>
    <row r="25" s="1" customFormat="1" spans="1:21">
      <c r="A25" s="10" t="s">
        <v>204</v>
      </c>
      <c r="B25" s="11">
        <f t="shared" si="5"/>
        <v>50</v>
      </c>
      <c r="C25" s="11">
        <f t="shared" si="6"/>
        <v>10</v>
      </c>
      <c r="D25" s="11">
        <v>400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0"/>
        <v>30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2"/>
        <v>70</v>
      </c>
      <c r="Q25" s="14">
        <v>100</v>
      </c>
      <c r="R25" s="14">
        <v>1</v>
      </c>
      <c r="S25" s="14">
        <v>0</v>
      </c>
      <c r="T25" s="14">
        <f t="shared" si="12"/>
        <v>35</v>
      </c>
      <c r="U25" s="10">
        <f t="shared" si="4"/>
        <v>40</v>
      </c>
    </row>
    <row r="26" s="1" customFormat="1" spans="1:21">
      <c r="A26" s="10" t="s">
        <v>205</v>
      </c>
      <c r="B26" s="11">
        <f t="shared" si="5"/>
        <v>50</v>
      </c>
      <c r="C26" s="11">
        <f t="shared" si="6"/>
        <v>10</v>
      </c>
      <c r="D26" s="11">
        <v>400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0"/>
        <v>45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2"/>
        <v>55</v>
      </c>
      <c r="Q26" s="14">
        <v>100</v>
      </c>
      <c r="R26" s="14">
        <v>1</v>
      </c>
      <c r="S26" s="14">
        <v>0</v>
      </c>
      <c r="T26" s="14">
        <f t="shared" si="12"/>
        <v>16.5</v>
      </c>
      <c r="U26" s="10">
        <f t="shared" si="4"/>
        <v>1.5</v>
      </c>
    </row>
  </sheetData>
  <mergeCells count="14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A5:A6"/>
    <mergeCell ref="U5:U6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zoomScale="90" zoomScaleNormal="90" topLeftCell="A22" workbookViewId="0">
      <selection activeCell="L30" sqref="L30:L49"/>
    </sheetView>
  </sheetViews>
  <sheetFormatPr defaultColWidth="8.89090909090909" defaultRowHeight="15"/>
  <cols>
    <col min="1" max="1" width="15.6636363636364" style="19" customWidth="1"/>
    <col min="2" max="3" width="8.33636363636364" style="19" customWidth="1"/>
    <col min="4" max="7" width="6.10909090909091" style="19" customWidth="1"/>
    <col min="8" max="8" width="8.33636363636364" style="19" customWidth="1"/>
    <col min="9" max="9" width="18.1090909090909" style="19" customWidth="1"/>
    <col min="10" max="10" width="10.6636363636364" style="19" customWidth="1"/>
    <col min="11" max="12" width="8.33636363636364" style="19" customWidth="1"/>
    <col min="13" max="16" width="6.10909090909091" style="19" customWidth="1"/>
    <col min="17" max="17" width="8.33636363636364" style="19" customWidth="1"/>
    <col min="18" max="18" width="10.6636363636364" style="19" customWidth="1"/>
    <col min="19" max="19" width="18.1090909090909" style="19" customWidth="1"/>
    <col min="20" max="21" width="10.6636363636364" style="19" customWidth="1"/>
    <col min="22" max="16384" width="8.89090909090909" style="19"/>
  </cols>
  <sheetData>
    <row r="1" s="19" customForma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9" customForma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="19" customFormat="1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9" customFormat="1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S4" s="1"/>
      <c r="T4" s="16" t="s">
        <v>6</v>
      </c>
      <c r="U4" s="17"/>
    </row>
    <row r="5" s="19" customFormat="1" spans="1:21">
      <c r="A5" s="10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="19" customFormat="1" spans="1:21">
      <c r="A6" s="10" t="s">
        <v>62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="19" customFormat="1" spans="1:21">
      <c r="A7" s="10" t="s">
        <v>206</v>
      </c>
      <c r="B7" s="11">
        <f>55+E7*5</f>
        <v>55</v>
      </c>
      <c r="C7" s="11">
        <f t="shared" ref="C7:C10" si="0">20+E7*5</f>
        <v>20</v>
      </c>
      <c r="D7" s="11">
        <v>500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 t="shared" ref="J7:J26" si="1">(B7-L7)*(G7/H7)</f>
        <v>50</v>
      </c>
      <c r="K7" s="15">
        <v>55</v>
      </c>
      <c r="L7" s="15">
        <f>5+N7*5</f>
        <v>5</v>
      </c>
      <c r="M7" s="15">
        <v>150</v>
      </c>
      <c r="N7" s="15">
        <v>0</v>
      </c>
      <c r="O7" s="14">
        <v>0</v>
      </c>
      <c r="P7" s="14">
        <f t="shared" ref="P7:P26" si="2">Q7-J7</f>
        <v>50</v>
      </c>
      <c r="Q7" s="14">
        <v>100</v>
      </c>
      <c r="R7" s="14">
        <v>1</v>
      </c>
      <c r="S7" s="14">
        <v>0</v>
      </c>
      <c r="T7" s="14">
        <f t="shared" ref="T7:T16" si="3">(K7-C7)*(P7/Q7)</f>
        <v>17.5</v>
      </c>
      <c r="U7" s="10">
        <f t="shared" ref="U7:U26" si="4">(M7*(N7/3+1)*(J7*R7+S7)-(D7*(E7/3+1))*(T7+I7))/100</f>
        <v>-12.5</v>
      </c>
    </row>
    <row r="8" s="19" customFormat="1" spans="1:21">
      <c r="A8" s="10" t="s">
        <v>207</v>
      </c>
      <c r="B8" s="11">
        <f t="shared" ref="B8:B26" si="5">55+E8*5</f>
        <v>55</v>
      </c>
      <c r="C8" s="11">
        <f t="shared" ref="C8:C14" si="6">30+E8*5</f>
        <v>30</v>
      </c>
      <c r="D8" s="11">
        <v>500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si="1"/>
        <v>40</v>
      </c>
      <c r="K8" s="14">
        <v>50</v>
      </c>
      <c r="L8" s="15">
        <f>15+N8*5</f>
        <v>15</v>
      </c>
      <c r="M8" s="14">
        <v>200</v>
      </c>
      <c r="N8" s="15">
        <v>0</v>
      </c>
      <c r="O8" s="14">
        <v>0</v>
      </c>
      <c r="P8" s="14">
        <f t="shared" si="2"/>
        <v>60</v>
      </c>
      <c r="Q8" s="14">
        <v>100</v>
      </c>
      <c r="R8" s="14">
        <v>1</v>
      </c>
      <c r="S8" s="14">
        <v>0</v>
      </c>
      <c r="T8" s="14">
        <f t="shared" si="3"/>
        <v>12</v>
      </c>
      <c r="U8" s="10">
        <f t="shared" si="4"/>
        <v>20</v>
      </c>
    </row>
    <row r="9" s="19" customFormat="1" spans="1:21">
      <c r="A9" s="10" t="s">
        <v>208</v>
      </c>
      <c r="B9" s="11">
        <f t="shared" si="5"/>
        <v>55</v>
      </c>
      <c r="C9" s="11">
        <f t="shared" si="0"/>
        <v>20</v>
      </c>
      <c r="D9" s="11">
        <v>500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1"/>
        <v>55</v>
      </c>
      <c r="K9" s="14">
        <v>40</v>
      </c>
      <c r="L9" s="15">
        <f>0+N9*5</f>
        <v>0</v>
      </c>
      <c r="M9" s="14">
        <v>200</v>
      </c>
      <c r="N9" s="15">
        <v>0</v>
      </c>
      <c r="O9" s="14">
        <v>0</v>
      </c>
      <c r="P9" s="14">
        <f t="shared" si="2"/>
        <v>45</v>
      </c>
      <c r="Q9" s="14">
        <v>100</v>
      </c>
      <c r="R9" s="14">
        <v>1</v>
      </c>
      <c r="S9" s="14">
        <v>0</v>
      </c>
      <c r="T9" s="14">
        <f t="shared" si="3"/>
        <v>9</v>
      </c>
      <c r="U9" s="10">
        <f t="shared" si="4"/>
        <v>65</v>
      </c>
    </row>
    <row r="10" s="19" customFormat="1" spans="1:21">
      <c r="A10" s="10" t="s">
        <v>209</v>
      </c>
      <c r="B10" s="11">
        <f t="shared" si="5"/>
        <v>55</v>
      </c>
      <c r="C10" s="11">
        <f t="shared" si="0"/>
        <v>20</v>
      </c>
      <c r="D10" s="11">
        <v>500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1"/>
        <v>50</v>
      </c>
      <c r="K10" s="14">
        <v>45</v>
      </c>
      <c r="L10" s="15">
        <f>5+N10*5</f>
        <v>5</v>
      </c>
      <c r="M10" s="14">
        <v>250</v>
      </c>
      <c r="N10" s="15">
        <v>0</v>
      </c>
      <c r="O10" s="14">
        <v>0</v>
      </c>
      <c r="P10" s="14">
        <f t="shared" si="2"/>
        <v>50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4"/>
        <v>125</v>
      </c>
    </row>
    <row r="11" s="19" customFormat="1" spans="1:21">
      <c r="A11" s="10" t="s">
        <v>210</v>
      </c>
      <c r="B11" s="11">
        <f t="shared" si="5"/>
        <v>55</v>
      </c>
      <c r="C11" s="11">
        <f t="shared" si="6"/>
        <v>30</v>
      </c>
      <c r="D11" s="11">
        <v>500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1"/>
        <v>65</v>
      </c>
      <c r="K11" s="14">
        <v>50</v>
      </c>
      <c r="L11" s="15">
        <f>-10+N11*5</f>
        <v>-10</v>
      </c>
      <c r="M11" s="14">
        <v>250</v>
      </c>
      <c r="N11" s="15">
        <v>0</v>
      </c>
      <c r="O11" s="14">
        <v>0</v>
      </c>
      <c r="P11" s="14">
        <f t="shared" si="2"/>
        <v>35</v>
      </c>
      <c r="Q11" s="14">
        <f>100+N11*5</f>
        <v>100</v>
      </c>
      <c r="R11" s="14">
        <v>1</v>
      </c>
      <c r="S11" s="14">
        <v>0</v>
      </c>
      <c r="T11" s="14">
        <f t="shared" si="3"/>
        <v>7</v>
      </c>
      <c r="U11" s="10">
        <f t="shared" si="4"/>
        <v>127.5</v>
      </c>
    </row>
    <row r="12" s="19" customFormat="1" spans="1:21">
      <c r="A12" s="10" t="s">
        <v>211</v>
      </c>
      <c r="B12" s="11">
        <f t="shared" si="5"/>
        <v>55</v>
      </c>
      <c r="C12" s="11">
        <f t="shared" ref="C12:C19" si="7">20+E12*5</f>
        <v>20</v>
      </c>
      <c r="D12" s="11">
        <v>500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1"/>
        <v>40</v>
      </c>
      <c r="K12" s="14"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2"/>
        <v>60</v>
      </c>
      <c r="Q12" s="14">
        <v>100</v>
      </c>
      <c r="R12" s="14">
        <v>1</v>
      </c>
      <c r="S12" s="14">
        <v>0</v>
      </c>
      <c r="T12" s="14">
        <f t="shared" si="3"/>
        <v>24</v>
      </c>
      <c r="U12" s="10">
        <f t="shared" si="4"/>
        <v>0</v>
      </c>
    </row>
    <row r="13" s="19" customFormat="1" spans="1:21">
      <c r="A13" s="10" t="s">
        <v>212</v>
      </c>
      <c r="B13" s="11">
        <f t="shared" si="5"/>
        <v>55</v>
      </c>
      <c r="C13" s="11">
        <f t="shared" si="6"/>
        <v>30</v>
      </c>
      <c r="D13" s="11">
        <v>500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1"/>
        <v>35</v>
      </c>
      <c r="K13" s="14">
        <v>50</v>
      </c>
      <c r="L13" s="15">
        <f>20+N13*5</f>
        <v>20</v>
      </c>
      <c r="M13" s="14">
        <v>300</v>
      </c>
      <c r="N13" s="15">
        <v>0</v>
      </c>
      <c r="O13" s="14">
        <v>0</v>
      </c>
      <c r="P13" s="14">
        <f t="shared" si="2"/>
        <v>65</v>
      </c>
      <c r="Q13" s="14">
        <v>100</v>
      </c>
      <c r="R13" s="14">
        <v>1</v>
      </c>
      <c r="S13" s="14">
        <v>0</v>
      </c>
      <c r="T13" s="14">
        <f t="shared" si="3"/>
        <v>13</v>
      </c>
      <c r="U13" s="10">
        <f t="shared" si="4"/>
        <v>40</v>
      </c>
    </row>
    <row r="14" s="19" customFormat="1" spans="1:21">
      <c r="A14" s="10" t="s">
        <v>213</v>
      </c>
      <c r="B14" s="11">
        <f t="shared" si="5"/>
        <v>55</v>
      </c>
      <c r="C14" s="11">
        <f t="shared" si="6"/>
        <v>30</v>
      </c>
      <c r="D14" s="11">
        <v>500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1"/>
        <v>15</v>
      </c>
      <c r="K14" s="14">
        <v>45</v>
      </c>
      <c r="L14" s="15">
        <f>40+N14*5</f>
        <v>40</v>
      </c>
      <c r="M14" s="14">
        <v>400</v>
      </c>
      <c r="N14" s="15">
        <v>0</v>
      </c>
      <c r="O14" s="14">
        <v>0</v>
      </c>
      <c r="P14" s="14">
        <f t="shared" si="2"/>
        <v>85</v>
      </c>
      <c r="Q14" s="14">
        <v>100</v>
      </c>
      <c r="R14" s="14">
        <v>1</v>
      </c>
      <c r="S14" s="14">
        <v>0</v>
      </c>
      <c r="T14" s="14">
        <f t="shared" si="3"/>
        <v>12.75</v>
      </c>
      <c r="U14" s="10">
        <f t="shared" si="4"/>
        <v>-3.75</v>
      </c>
    </row>
    <row r="15" s="19" customFormat="1" spans="1:21">
      <c r="A15" s="10" t="s">
        <v>214</v>
      </c>
      <c r="B15" s="11">
        <f t="shared" si="5"/>
        <v>55</v>
      </c>
      <c r="C15" s="11">
        <f t="shared" si="7"/>
        <v>20</v>
      </c>
      <c r="D15" s="11">
        <v>500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1"/>
        <v>45</v>
      </c>
      <c r="K15" s="14">
        <v>50</v>
      </c>
      <c r="L15" s="15">
        <f t="shared" ref="L15:L19" si="8">10+N15*5</f>
        <v>10</v>
      </c>
      <c r="M15" s="14">
        <v>400</v>
      </c>
      <c r="N15" s="15">
        <v>0</v>
      </c>
      <c r="O15" s="14">
        <v>0</v>
      </c>
      <c r="P15" s="14">
        <f t="shared" si="2"/>
        <v>55</v>
      </c>
      <c r="Q15" s="14">
        <v>100</v>
      </c>
      <c r="R15" s="14">
        <v>1</v>
      </c>
      <c r="S15" s="14">
        <v>0</v>
      </c>
      <c r="T15" s="14">
        <f t="shared" si="3"/>
        <v>16.5</v>
      </c>
      <c r="U15" s="10">
        <f t="shared" si="4"/>
        <v>97.5</v>
      </c>
    </row>
    <row r="16" s="19" customFormat="1" spans="1:21">
      <c r="A16" s="10" t="s">
        <v>215</v>
      </c>
      <c r="B16" s="11">
        <f t="shared" si="5"/>
        <v>55</v>
      </c>
      <c r="C16" s="11">
        <f t="shared" ref="C16:C21" si="9">30+E16*5</f>
        <v>30</v>
      </c>
      <c r="D16" s="11">
        <v>500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1"/>
        <v>25</v>
      </c>
      <c r="K16" s="14">
        <v>55</v>
      </c>
      <c r="L16" s="15">
        <f>30+N16*5</f>
        <v>30</v>
      </c>
      <c r="M16" s="14">
        <v>500</v>
      </c>
      <c r="N16" s="15">
        <v>0</v>
      </c>
      <c r="O16" s="14">
        <v>0</v>
      </c>
      <c r="P16" s="14">
        <f t="shared" si="2"/>
        <v>75</v>
      </c>
      <c r="Q16" s="14">
        <v>100</v>
      </c>
      <c r="R16" s="14">
        <v>1</v>
      </c>
      <c r="S16" s="14">
        <v>0</v>
      </c>
      <c r="T16" s="14">
        <f t="shared" si="3"/>
        <v>18.75</v>
      </c>
      <c r="U16" s="10">
        <f t="shared" si="4"/>
        <v>31.25</v>
      </c>
    </row>
    <row r="17" s="19" customFormat="1" spans="1:21">
      <c r="A17" s="10" t="s">
        <v>216</v>
      </c>
      <c r="B17" s="11">
        <f t="shared" si="5"/>
        <v>55</v>
      </c>
      <c r="C17" s="11">
        <f t="shared" si="7"/>
        <v>20</v>
      </c>
      <c r="D17" s="11">
        <v>500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1"/>
        <v>45</v>
      </c>
      <c r="K17" s="14">
        <v>70</v>
      </c>
      <c r="L17" s="14">
        <f t="shared" si="8"/>
        <v>10</v>
      </c>
      <c r="M17" s="14">
        <v>500</v>
      </c>
      <c r="N17" s="14">
        <v>0</v>
      </c>
      <c r="O17" s="14">
        <v>0</v>
      </c>
      <c r="P17" s="14">
        <f t="shared" si="2"/>
        <v>55</v>
      </c>
      <c r="Q17" s="14">
        <v>100</v>
      </c>
      <c r="R17" s="14">
        <v>1</v>
      </c>
      <c r="S17" s="14">
        <v>0</v>
      </c>
      <c r="T17" s="14">
        <f>(K17-C17)*1</f>
        <v>50</v>
      </c>
      <c r="U17" s="10">
        <f t="shared" si="4"/>
        <v>-25</v>
      </c>
    </row>
    <row r="18" s="19" customFormat="1" spans="1:21">
      <c r="A18" s="10" t="s">
        <v>217</v>
      </c>
      <c r="B18" s="11">
        <f t="shared" si="5"/>
        <v>55</v>
      </c>
      <c r="C18" s="11">
        <f t="shared" si="7"/>
        <v>20</v>
      </c>
      <c r="D18" s="11">
        <v>500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1"/>
        <v>45</v>
      </c>
      <c r="K18" s="14">
        <v>75</v>
      </c>
      <c r="L18" s="14">
        <f t="shared" si="8"/>
        <v>10</v>
      </c>
      <c r="M18" s="14">
        <v>600</v>
      </c>
      <c r="N18" s="15">
        <v>0</v>
      </c>
      <c r="O18" s="14">
        <v>0</v>
      </c>
      <c r="P18" s="14">
        <f t="shared" si="2"/>
        <v>55</v>
      </c>
      <c r="Q18" s="14">
        <v>100</v>
      </c>
      <c r="R18" s="14">
        <v>1</v>
      </c>
      <c r="S18" s="14">
        <v>0</v>
      </c>
      <c r="T18" s="14">
        <f t="shared" ref="T18:T23" si="10">(K18-C18)*(P18/Q18)</f>
        <v>30.25</v>
      </c>
      <c r="U18" s="10">
        <f t="shared" si="4"/>
        <v>118.75</v>
      </c>
    </row>
    <row r="19" s="19" customFormat="1" spans="1:21">
      <c r="A19" s="10" t="s">
        <v>218</v>
      </c>
      <c r="B19" s="11">
        <f t="shared" si="5"/>
        <v>55</v>
      </c>
      <c r="C19" s="11">
        <f t="shared" si="7"/>
        <v>20</v>
      </c>
      <c r="D19" s="11">
        <v>500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1"/>
        <v>45</v>
      </c>
      <c r="K19" s="14">
        <v>55</v>
      </c>
      <c r="L19" s="14">
        <f t="shared" si="8"/>
        <v>10</v>
      </c>
      <c r="M19" s="14">
        <v>600</v>
      </c>
      <c r="N19" s="14">
        <v>0</v>
      </c>
      <c r="O19" s="14">
        <v>0</v>
      </c>
      <c r="P19" s="14">
        <f t="shared" si="2"/>
        <v>55</v>
      </c>
      <c r="Q19" s="14">
        <f>100+N19*25</f>
        <v>100</v>
      </c>
      <c r="R19" s="14">
        <v>1</v>
      </c>
      <c r="S19" s="14">
        <v>0</v>
      </c>
      <c r="T19" s="14">
        <f t="shared" si="10"/>
        <v>19.25</v>
      </c>
      <c r="U19" s="10">
        <f t="shared" si="4"/>
        <v>173.75</v>
      </c>
    </row>
    <row r="20" s="19" customFormat="1" spans="1:21">
      <c r="A20" s="10" t="s">
        <v>219</v>
      </c>
      <c r="B20" s="11">
        <f t="shared" si="5"/>
        <v>55</v>
      </c>
      <c r="C20" s="11">
        <f t="shared" si="9"/>
        <v>30</v>
      </c>
      <c r="D20" s="11">
        <v>500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1"/>
        <v>35</v>
      </c>
      <c r="K20" s="14">
        <v>55</v>
      </c>
      <c r="L20" s="14">
        <f>20+N20*5</f>
        <v>20</v>
      </c>
      <c r="M20" s="14">
        <v>600</v>
      </c>
      <c r="N20" s="15">
        <v>0</v>
      </c>
      <c r="O20" s="14">
        <v>0</v>
      </c>
      <c r="P20" s="14">
        <f t="shared" si="2"/>
        <v>65</v>
      </c>
      <c r="Q20" s="14">
        <f>100+N20*10</f>
        <v>100</v>
      </c>
      <c r="R20" s="14">
        <v>1</v>
      </c>
      <c r="S20" s="14">
        <v>0</v>
      </c>
      <c r="T20" s="14">
        <f t="shared" si="10"/>
        <v>16.25</v>
      </c>
      <c r="U20" s="10">
        <f t="shared" si="4"/>
        <v>128.75</v>
      </c>
    </row>
    <row r="21" s="19" customFormat="1" spans="1:21">
      <c r="A21" s="10" t="s">
        <v>220</v>
      </c>
      <c r="B21" s="11">
        <f t="shared" si="5"/>
        <v>55</v>
      </c>
      <c r="C21" s="11">
        <f t="shared" si="9"/>
        <v>30</v>
      </c>
      <c r="D21" s="11">
        <v>500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1"/>
        <v>25</v>
      </c>
      <c r="K21" s="14">
        <v>40</v>
      </c>
      <c r="L21" s="14">
        <f>30+N21*5</f>
        <v>30</v>
      </c>
      <c r="M21" s="14">
        <v>600</v>
      </c>
      <c r="N21" s="14">
        <v>0</v>
      </c>
      <c r="O21" s="14">
        <v>0</v>
      </c>
      <c r="P21" s="14">
        <f t="shared" si="2"/>
        <v>75</v>
      </c>
      <c r="Q21" s="14">
        <v>100</v>
      </c>
      <c r="R21" s="14">
        <v>1</v>
      </c>
      <c r="S21" s="14">
        <v>0</v>
      </c>
      <c r="T21" s="14">
        <f t="shared" si="10"/>
        <v>7.5</v>
      </c>
      <c r="U21" s="10">
        <f t="shared" si="4"/>
        <v>112.5</v>
      </c>
    </row>
    <row r="22" s="19" customFormat="1" spans="1:21">
      <c r="A22" s="10" t="s">
        <v>221</v>
      </c>
      <c r="B22" s="11">
        <f t="shared" si="5"/>
        <v>55</v>
      </c>
      <c r="C22" s="11">
        <f t="shared" ref="C22:C26" si="11">20+E22*5</f>
        <v>20</v>
      </c>
      <c r="D22" s="11">
        <v>500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1"/>
        <v>50</v>
      </c>
      <c r="K22" s="14"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2"/>
        <v>50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4"/>
        <v>400</v>
      </c>
    </row>
    <row r="23" s="19" customFormat="1" spans="1:21">
      <c r="A23" s="10" t="s">
        <v>222</v>
      </c>
      <c r="B23" s="11">
        <f t="shared" si="5"/>
        <v>55</v>
      </c>
      <c r="C23" s="11">
        <f t="shared" si="11"/>
        <v>20</v>
      </c>
      <c r="D23" s="11">
        <v>500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1"/>
        <v>45</v>
      </c>
      <c r="K23" s="14">
        <v>60</v>
      </c>
      <c r="L23" s="14">
        <f>10+N23*5</f>
        <v>10</v>
      </c>
      <c r="M23" s="14">
        <v>800</v>
      </c>
      <c r="N23" s="14">
        <v>0</v>
      </c>
      <c r="O23" s="14">
        <v>0</v>
      </c>
      <c r="P23" s="14">
        <f t="shared" si="2"/>
        <v>55</v>
      </c>
      <c r="Q23" s="14">
        <v>100</v>
      </c>
      <c r="R23" s="14">
        <v>1</v>
      </c>
      <c r="S23" s="14">
        <v>0</v>
      </c>
      <c r="T23" s="14">
        <f>(K23+10-C23)*(P23/Q23)</f>
        <v>27.5</v>
      </c>
      <c r="U23" s="10">
        <f t="shared" si="4"/>
        <v>222.5</v>
      </c>
    </row>
    <row r="24" s="19" customFormat="1" spans="1:21">
      <c r="A24" s="10" t="s">
        <v>223</v>
      </c>
      <c r="B24" s="11">
        <f t="shared" si="5"/>
        <v>55</v>
      </c>
      <c r="C24" s="11">
        <f>30+E24*5</f>
        <v>30</v>
      </c>
      <c r="D24" s="11">
        <v>500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1"/>
        <v>30</v>
      </c>
      <c r="K24" s="14"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2"/>
        <v>70</v>
      </c>
      <c r="Q24" s="14">
        <v>100</v>
      </c>
      <c r="R24" s="14">
        <v>1</v>
      </c>
      <c r="S24" s="14">
        <v>0</v>
      </c>
      <c r="T24" s="14">
        <f>(K24-C24)*(P24/Q24)*1.5</f>
        <v>42</v>
      </c>
      <c r="U24" s="10">
        <f t="shared" si="4"/>
        <v>90</v>
      </c>
    </row>
    <row r="25" s="19" customFormat="1" spans="1:21">
      <c r="A25" s="10" t="s">
        <v>224</v>
      </c>
      <c r="B25" s="11">
        <f t="shared" si="5"/>
        <v>55</v>
      </c>
      <c r="C25" s="11">
        <f t="shared" si="11"/>
        <v>20</v>
      </c>
      <c r="D25" s="11">
        <v>500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1"/>
        <v>35</v>
      </c>
      <c r="K25" s="14"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2"/>
        <v>65</v>
      </c>
      <c r="Q25" s="14">
        <v>100</v>
      </c>
      <c r="R25" s="14">
        <v>1</v>
      </c>
      <c r="S25" s="14">
        <v>0</v>
      </c>
      <c r="T25" s="14">
        <f>(K25-C25)*(P25/Q25)</f>
        <v>26</v>
      </c>
      <c r="U25" s="10">
        <f t="shared" si="4"/>
        <v>80</v>
      </c>
    </row>
    <row r="26" s="19" customFormat="1" spans="1:21">
      <c r="A26" s="10" t="s">
        <v>225</v>
      </c>
      <c r="B26" s="11">
        <f t="shared" si="5"/>
        <v>55</v>
      </c>
      <c r="C26" s="11">
        <f t="shared" si="11"/>
        <v>20</v>
      </c>
      <c r="D26" s="11">
        <v>500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1"/>
        <v>50</v>
      </c>
      <c r="K26" s="14"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2"/>
        <v>50</v>
      </c>
      <c r="Q26" s="14">
        <v>100</v>
      </c>
      <c r="R26" s="14">
        <v>1</v>
      </c>
      <c r="S26" s="14">
        <v>0</v>
      </c>
      <c r="T26" s="14">
        <f>(K26-C26)*(P26/Q26)</f>
        <v>10</v>
      </c>
      <c r="U26" s="10">
        <f t="shared" si="4"/>
        <v>25</v>
      </c>
    </row>
    <row r="27" s="19" customFormat="1" spans="1:1">
      <c r="A27" s="20"/>
    </row>
    <row r="28" s="19" customFormat="1" spans="1:21">
      <c r="A28" s="10" t="s">
        <v>7</v>
      </c>
      <c r="B28" s="8" t="s">
        <v>8</v>
      </c>
      <c r="C28" s="8"/>
      <c r="D28" s="8"/>
      <c r="E28" s="8"/>
      <c r="F28" s="8"/>
      <c r="G28" s="8"/>
      <c r="H28" s="8"/>
      <c r="I28" s="8"/>
      <c r="J28" s="8"/>
      <c r="K28" s="14" t="s">
        <v>9</v>
      </c>
      <c r="L28" s="14"/>
      <c r="M28" s="14"/>
      <c r="N28" s="14"/>
      <c r="O28" s="14"/>
      <c r="P28" s="14"/>
      <c r="Q28" s="14"/>
      <c r="R28" s="14"/>
      <c r="S28" s="14"/>
      <c r="T28" s="18"/>
      <c r="U28" s="10" t="s">
        <v>10</v>
      </c>
    </row>
    <row r="29" s="19" customFormat="1" spans="1:21">
      <c r="A29" s="10" t="s">
        <v>83</v>
      </c>
      <c r="B29" s="8" t="s">
        <v>11</v>
      </c>
      <c r="C29" s="8" t="s">
        <v>12</v>
      </c>
      <c r="D29" s="8" t="s">
        <v>13</v>
      </c>
      <c r="E29" s="8" t="s">
        <v>14</v>
      </c>
      <c r="F29" s="8" t="s">
        <v>15</v>
      </c>
      <c r="G29" s="8" t="s">
        <v>16</v>
      </c>
      <c r="H29" s="8" t="s">
        <v>17</v>
      </c>
      <c r="I29" s="8" t="s">
        <v>18</v>
      </c>
      <c r="J29" s="8" t="s">
        <v>19</v>
      </c>
      <c r="K29" s="14" t="s">
        <v>11</v>
      </c>
      <c r="L29" s="14" t="s">
        <v>12</v>
      </c>
      <c r="M29" s="14" t="s">
        <v>13</v>
      </c>
      <c r="N29" s="14" t="s">
        <v>14</v>
      </c>
      <c r="O29" s="14" t="s">
        <v>15</v>
      </c>
      <c r="P29" s="14" t="s">
        <v>16</v>
      </c>
      <c r="Q29" s="14" t="s">
        <v>17</v>
      </c>
      <c r="R29" s="14" t="s">
        <v>20</v>
      </c>
      <c r="S29" s="14" t="s">
        <v>18</v>
      </c>
      <c r="T29" s="18" t="s">
        <v>21</v>
      </c>
      <c r="U29" s="10"/>
    </row>
    <row r="30" s="19" customFormat="1" spans="1:21">
      <c r="A30" s="10" t="s">
        <v>206</v>
      </c>
      <c r="B30" s="11">
        <f t="shared" ref="B30:B49" si="12">55+E30*5</f>
        <v>55</v>
      </c>
      <c r="C30" s="11">
        <f t="shared" ref="C30:C33" si="13">20+E30*5</f>
        <v>20</v>
      </c>
      <c r="D30" s="11">
        <v>500</v>
      </c>
      <c r="E30" s="11">
        <v>0</v>
      </c>
      <c r="F30" s="8">
        <v>0</v>
      </c>
      <c r="G30" s="8">
        <v>100</v>
      </c>
      <c r="H30" s="8">
        <v>100</v>
      </c>
      <c r="I30" s="8">
        <v>0</v>
      </c>
      <c r="J30" s="8">
        <f t="shared" ref="J30:J41" si="14">(B30-L30)*(G30/H30)</f>
        <v>50</v>
      </c>
      <c r="K30" s="15">
        <f>55+N30*10</f>
        <v>55</v>
      </c>
      <c r="L30" s="15">
        <f>5+N30*5</f>
        <v>5</v>
      </c>
      <c r="M30" s="15">
        <v>150</v>
      </c>
      <c r="N30" s="15">
        <v>0</v>
      </c>
      <c r="O30" s="14">
        <v>0</v>
      </c>
      <c r="P30" s="14">
        <f t="shared" ref="P30:P49" si="15">Q30-J30</f>
        <v>50</v>
      </c>
      <c r="Q30" s="14">
        <v>100</v>
      </c>
      <c r="R30" s="14">
        <v>1</v>
      </c>
      <c r="S30" s="14">
        <v>0</v>
      </c>
      <c r="T30" s="14">
        <v>0</v>
      </c>
      <c r="U30" s="10">
        <f t="shared" ref="U30:U49" si="16">(M30*(N30/3+1)*(J30*R30+S30)-(D30*(E30/3+1))*(T30+I30))/100</f>
        <v>75</v>
      </c>
    </row>
    <row r="31" s="19" customFormat="1" spans="1:21">
      <c r="A31" s="10" t="s">
        <v>207</v>
      </c>
      <c r="B31" s="11">
        <f t="shared" si="12"/>
        <v>55</v>
      </c>
      <c r="C31" s="11">
        <f t="shared" ref="C31:C37" si="17">30+E31*5</f>
        <v>30</v>
      </c>
      <c r="D31" s="11">
        <v>500</v>
      </c>
      <c r="E31" s="11">
        <v>0</v>
      </c>
      <c r="F31" s="8">
        <v>0</v>
      </c>
      <c r="G31" s="8">
        <v>100</v>
      </c>
      <c r="H31" s="8">
        <v>100</v>
      </c>
      <c r="I31" s="8">
        <v>0</v>
      </c>
      <c r="J31" s="8">
        <f t="shared" si="14"/>
        <v>40</v>
      </c>
      <c r="K31" s="15">
        <f t="shared" ref="K31:K36" si="18">50+N31*10</f>
        <v>50</v>
      </c>
      <c r="L31" s="15">
        <f>15+N31*5</f>
        <v>15</v>
      </c>
      <c r="M31" s="14">
        <v>200</v>
      </c>
      <c r="N31" s="15">
        <v>0</v>
      </c>
      <c r="O31" s="14">
        <v>0</v>
      </c>
      <c r="P31" s="14">
        <f t="shared" si="15"/>
        <v>60</v>
      </c>
      <c r="Q31" s="14">
        <v>100</v>
      </c>
      <c r="R31" s="14">
        <v>1</v>
      </c>
      <c r="S31" s="14">
        <v>0</v>
      </c>
      <c r="T31" s="14">
        <v>0</v>
      </c>
      <c r="U31" s="10">
        <f t="shared" si="16"/>
        <v>80</v>
      </c>
    </row>
    <row r="32" s="19" customFormat="1" spans="1:21">
      <c r="A32" s="10" t="s">
        <v>208</v>
      </c>
      <c r="B32" s="11">
        <f t="shared" si="12"/>
        <v>55</v>
      </c>
      <c r="C32" s="11">
        <f t="shared" si="13"/>
        <v>20</v>
      </c>
      <c r="D32" s="11">
        <v>500</v>
      </c>
      <c r="E32" s="11">
        <v>0</v>
      </c>
      <c r="F32" s="8">
        <v>0</v>
      </c>
      <c r="G32" s="8">
        <v>100</v>
      </c>
      <c r="H32" s="8">
        <v>100</v>
      </c>
      <c r="I32" s="8">
        <v>0</v>
      </c>
      <c r="J32" s="8">
        <f t="shared" si="14"/>
        <v>55</v>
      </c>
      <c r="K32" s="15">
        <f>40+N32*10</f>
        <v>40</v>
      </c>
      <c r="L32" s="15">
        <f>0+N32*5</f>
        <v>0</v>
      </c>
      <c r="M32" s="14">
        <v>200</v>
      </c>
      <c r="N32" s="15">
        <v>0</v>
      </c>
      <c r="O32" s="14">
        <v>0</v>
      </c>
      <c r="P32" s="14">
        <f t="shared" si="15"/>
        <v>45</v>
      </c>
      <c r="Q32" s="14">
        <v>100</v>
      </c>
      <c r="R32" s="14">
        <v>1</v>
      </c>
      <c r="S32" s="14">
        <v>0</v>
      </c>
      <c r="T32" s="14">
        <v>0</v>
      </c>
      <c r="U32" s="10">
        <f t="shared" si="16"/>
        <v>110</v>
      </c>
    </row>
    <row r="33" s="19" customFormat="1" spans="1:21">
      <c r="A33" s="10" t="s">
        <v>209</v>
      </c>
      <c r="B33" s="11">
        <f t="shared" si="12"/>
        <v>55</v>
      </c>
      <c r="C33" s="11">
        <f t="shared" si="13"/>
        <v>20</v>
      </c>
      <c r="D33" s="11">
        <v>500</v>
      </c>
      <c r="E33" s="11">
        <v>0</v>
      </c>
      <c r="F33" s="8">
        <v>0</v>
      </c>
      <c r="G33" s="8">
        <v>100</v>
      </c>
      <c r="H33" s="8">
        <v>100</v>
      </c>
      <c r="I33" s="8">
        <v>0</v>
      </c>
      <c r="J33" s="8">
        <f t="shared" si="14"/>
        <v>50</v>
      </c>
      <c r="K33" s="15">
        <f>45+N33*10</f>
        <v>45</v>
      </c>
      <c r="L33" s="15">
        <f>5+N33*5</f>
        <v>5</v>
      </c>
      <c r="M33" s="14">
        <v>250</v>
      </c>
      <c r="N33" s="15">
        <v>0</v>
      </c>
      <c r="O33" s="14">
        <v>0</v>
      </c>
      <c r="P33" s="14">
        <f t="shared" si="15"/>
        <v>50</v>
      </c>
      <c r="Q33" s="14">
        <v>100</v>
      </c>
      <c r="R33" s="14">
        <v>1</v>
      </c>
      <c r="S33" s="14">
        <v>0</v>
      </c>
      <c r="T33" s="14">
        <v>0</v>
      </c>
      <c r="U33" s="10">
        <f t="shared" si="16"/>
        <v>125</v>
      </c>
    </row>
    <row r="34" s="19" customFormat="1" spans="1:21">
      <c r="A34" s="10" t="s">
        <v>210</v>
      </c>
      <c r="B34" s="11">
        <f t="shared" si="12"/>
        <v>55</v>
      </c>
      <c r="C34" s="11">
        <f t="shared" si="17"/>
        <v>30</v>
      </c>
      <c r="D34" s="11">
        <v>500</v>
      </c>
      <c r="E34" s="11">
        <v>0</v>
      </c>
      <c r="F34" s="8">
        <v>0</v>
      </c>
      <c r="G34" s="8">
        <v>100</v>
      </c>
      <c r="H34" s="8">
        <v>100</v>
      </c>
      <c r="I34" s="8">
        <v>0</v>
      </c>
      <c r="J34" s="8">
        <f t="shared" si="14"/>
        <v>65</v>
      </c>
      <c r="K34" s="15">
        <f t="shared" si="18"/>
        <v>50</v>
      </c>
      <c r="L34" s="15">
        <f>-10+N34*5</f>
        <v>-10</v>
      </c>
      <c r="M34" s="14">
        <v>250</v>
      </c>
      <c r="N34" s="15">
        <v>0</v>
      </c>
      <c r="O34" s="14">
        <v>0</v>
      </c>
      <c r="P34" s="14">
        <f t="shared" si="15"/>
        <v>35</v>
      </c>
      <c r="Q34" s="14">
        <f>100+N34*5</f>
        <v>100</v>
      </c>
      <c r="R34" s="14">
        <v>1</v>
      </c>
      <c r="S34" s="14">
        <v>0</v>
      </c>
      <c r="T34" s="14">
        <v>0</v>
      </c>
      <c r="U34" s="10">
        <f t="shared" si="16"/>
        <v>162.5</v>
      </c>
    </row>
    <row r="35" s="19" customFormat="1" spans="1:21">
      <c r="A35" s="10" t="s">
        <v>211</v>
      </c>
      <c r="B35" s="11">
        <f t="shared" si="12"/>
        <v>55</v>
      </c>
      <c r="C35" s="11">
        <f t="shared" ref="C35:C42" si="19">20+E35*5</f>
        <v>20</v>
      </c>
      <c r="D35" s="11">
        <v>500</v>
      </c>
      <c r="E35" s="11">
        <v>0</v>
      </c>
      <c r="F35" s="8">
        <v>0</v>
      </c>
      <c r="G35" s="8">
        <v>100</v>
      </c>
      <c r="H35" s="8">
        <v>100</v>
      </c>
      <c r="I35" s="8">
        <v>0</v>
      </c>
      <c r="J35" s="8">
        <f t="shared" si="14"/>
        <v>40</v>
      </c>
      <c r="K35" s="15">
        <f>60+N35*10</f>
        <v>60</v>
      </c>
      <c r="L35" s="15">
        <f>15+N35*5</f>
        <v>15</v>
      </c>
      <c r="M35" s="14">
        <v>300</v>
      </c>
      <c r="N35" s="15">
        <v>0</v>
      </c>
      <c r="O35" s="14">
        <v>0</v>
      </c>
      <c r="P35" s="14">
        <f t="shared" si="15"/>
        <v>60</v>
      </c>
      <c r="Q35" s="14">
        <v>100</v>
      </c>
      <c r="R35" s="14">
        <v>1</v>
      </c>
      <c r="S35" s="14">
        <v>0</v>
      </c>
      <c r="T35" s="14">
        <v>0</v>
      </c>
      <c r="U35" s="10">
        <f t="shared" si="16"/>
        <v>120</v>
      </c>
    </row>
    <row r="36" s="19" customFormat="1" spans="1:21">
      <c r="A36" s="10" t="s">
        <v>212</v>
      </c>
      <c r="B36" s="11">
        <f t="shared" si="12"/>
        <v>55</v>
      </c>
      <c r="C36" s="11">
        <f t="shared" si="17"/>
        <v>30</v>
      </c>
      <c r="D36" s="11">
        <v>500</v>
      </c>
      <c r="E36" s="11">
        <v>0</v>
      </c>
      <c r="F36" s="8">
        <v>0</v>
      </c>
      <c r="G36" s="8">
        <v>100</v>
      </c>
      <c r="H36" s="8">
        <v>100</v>
      </c>
      <c r="I36" s="8">
        <v>0</v>
      </c>
      <c r="J36" s="8">
        <f t="shared" si="14"/>
        <v>35</v>
      </c>
      <c r="K36" s="15">
        <f t="shared" si="18"/>
        <v>50</v>
      </c>
      <c r="L36" s="15">
        <f>20+N36*5</f>
        <v>20</v>
      </c>
      <c r="M36" s="14">
        <v>300</v>
      </c>
      <c r="N36" s="15">
        <v>0</v>
      </c>
      <c r="O36" s="14">
        <v>0</v>
      </c>
      <c r="P36" s="14">
        <f t="shared" si="15"/>
        <v>65</v>
      </c>
      <c r="Q36" s="14">
        <v>100</v>
      </c>
      <c r="R36" s="14">
        <v>1</v>
      </c>
      <c r="S36" s="14">
        <v>0</v>
      </c>
      <c r="T36" s="14">
        <v>0</v>
      </c>
      <c r="U36" s="10">
        <f t="shared" si="16"/>
        <v>105</v>
      </c>
    </row>
    <row r="37" s="19" customFormat="1" spans="1:21">
      <c r="A37" s="10" t="s">
        <v>213</v>
      </c>
      <c r="B37" s="11">
        <f t="shared" si="12"/>
        <v>55</v>
      </c>
      <c r="C37" s="11">
        <f t="shared" si="17"/>
        <v>30</v>
      </c>
      <c r="D37" s="11">
        <v>500</v>
      </c>
      <c r="E37" s="11">
        <v>0</v>
      </c>
      <c r="F37" s="8">
        <v>0</v>
      </c>
      <c r="G37" s="8">
        <v>100</v>
      </c>
      <c r="H37" s="8">
        <v>100</v>
      </c>
      <c r="I37" s="8">
        <v>0</v>
      </c>
      <c r="J37" s="8">
        <f t="shared" si="14"/>
        <v>15</v>
      </c>
      <c r="K37" s="15">
        <f>45+N37*5</f>
        <v>45</v>
      </c>
      <c r="L37" s="15">
        <f>40+N37*5</f>
        <v>40</v>
      </c>
      <c r="M37" s="14">
        <v>400</v>
      </c>
      <c r="N37" s="15">
        <v>0</v>
      </c>
      <c r="O37" s="14">
        <v>0</v>
      </c>
      <c r="P37" s="14">
        <f t="shared" si="15"/>
        <v>85</v>
      </c>
      <c r="Q37" s="14">
        <v>100</v>
      </c>
      <c r="R37" s="14">
        <v>1</v>
      </c>
      <c r="S37" s="14">
        <v>0</v>
      </c>
      <c r="T37" s="14">
        <v>0</v>
      </c>
      <c r="U37" s="10">
        <f t="shared" si="16"/>
        <v>60</v>
      </c>
    </row>
    <row r="38" s="19" customFormat="1" spans="1:21">
      <c r="A38" s="10" t="s">
        <v>214</v>
      </c>
      <c r="B38" s="11">
        <f t="shared" si="12"/>
        <v>55</v>
      </c>
      <c r="C38" s="11">
        <f t="shared" si="19"/>
        <v>20</v>
      </c>
      <c r="D38" s="11">
        <v>500</v>
      </c>
      <c r="E38" s="11">
        <v>0</v>
      </c>
      <c r="F38" s="8">
        <v>0</v>
      </c>
      <c r="G38" s="8">
        <v>100</v>
      </c>
      <c r="H38" s="8">
        <v>100</v>
      </c>
      <c r="I38" s="8">
        <v>0</v>
      </c>
      <c r="J38" s="8">
        <f t="shared" si="14"/>
        <v>45</v>
      </c>
      <c r="K38" s="15">
        <f>50+N38*5</f>
        <v>50</v>
      </c>
      <c r="L38" s="15">
        <f t="shared" ref="L38:L42" si="20">10+N38*5</f>
        <v>10</v>
      </c>
      <c r="M38" s="14">
        <v>400</v>
      </c>
      <c r="N38" s="15">
        <v>0</v>
      </c>
      <c r="O38" s="14">
        <v>0</v>
      </c>
      <c r="P38" s="14">
        <f t="shared" si="15"/>
        <v>55</v>
      </c>
      <c r="Q38" s="14">
        <v>100</v>
      </c>
      <c r="R38" s="14">
        <v>1</v>
      </c>
      <c r="S38" s="14">
        <v>0</v>
      </c>
      <c r="T38" s="14">
        <v>0</v>
      </c>
      <c r="U38" s="10">
        <f t="shared" si="16"/>
        <v>180</v>
      </c>
    </row>
    <row r="39" s="19" customFormat="1" spans="1:21">
      <c r="A39" s="10" t="s">
        <v>215</v>
      </c>
      <c r="B39" s="11">
        <f t="shared" si="12"/>
        <v>55</v>
      </c>
      <c r="C39" s="11">
        <f t="shared" ref="C39:C44" si="21">30+E39*5</f>
        <v>30</v>
      </c>
      <c r="D39" s="11">
        <v>500</v>
      </c>
      <c r="E39" s="11">
        <v>0</v>
      </c>
      <c r="F39" s="8">
        <v>0</v>
      </c>
      <c r="G39" s="8">
        <v>100</v>
      </c>
      <c r="H39" s="8">
        <v>100</v>
      </c>
      <c r="I39" s="8">
        <v>0</v>
      </c>
      <c r="J39" s="8">
        <f t="shared" si="14"/>
        <v>25</v>
      </c>
      <c r="K39" s="15">
        <f>55+N39*5</f>
        <v>55</v>
      </c>
      <c r="L39" s="15">
        <f>30+N39*5</f>
        <v>30</v>
      </c>
      <c r="M39" s="14">
        <v>500</v>
      </c>
      <c r="N39" s="15">
        <v>0</v>
      </c>
      <c r="O39" s="14">
        <v>0</v>
      </c>
      <c r="P39" s="14">
        <f t="shared" si="15"/>
        <v>75</v>
      </c>
      <c r="Q39" s="14">
        <v>100</v>
      </c>
      <c r="R39" s="14">
        <v>1</v>
      </c>
      <c r="S39" s="14">
        <v>0</v>
      </c>
      <c r="T39" s="14">
        <v>0</v>
      </c>
      <c r="U39" s="10">
        <f t="shared" si="16"/>
        <v>125</v>
      </c>
    </row>
    <row r="40" s="19" customFormat="1" spans="1:21">
      <c r="A40" s="10" t="s">
        <v>216</v>
      </c>
      <c r="B40" s="11">
        <f t="shared" si="12"/>
        <v>55</v>
      </c>
      <c r="C40" s="11">
        <f t="shared" si="19"/>
        <v>20</v>
      </c>
      <c r="D40" s="11">
        <v>500</v>
      </c>
      <c r="E40" s="11">
        <v>0</v>
      </c>
      <c r="F40" s="8">
        <v>0</v>
      </c>
      <c r="G40" s="8">
        <v>100</v>
      </c>
      <c r="H40" s="8">
        <v>100</v>
      </c>
      <c r="I40" s="8">
        <v>0</v>
      </c>
      <c r="J40" s="8">
        <f t="shared" si="14"/>
        <v>45</v>
      </c>
      <c r="K40" s="14">
        <f>70+N40*10</f>
        <v>70</v>
      </c>
      <c r="L40" s="14">
        <f t="shared" si="20"/>
        <v>10</v>
      </c>
      <c r="M40" s="14">
        <v>500</v>
      </c>
      <c r="N40" s="14">
        <v>0</v>
      </c>
      <c r="O40" s="14">
        <v>0</v>
      </c>
      <c r="P40" s="14">
        <f t="shared" si="15"/>
        <v>55</v>
      </c>
      <c r="Q40" s="14">
        <v>100</v>
      </c>
      <c r="R40" s="14">
        <v>1</v>
      </c>
      <c r="S40" s="14">
        <v>0</v>
      </c>
      <c r="T40" s="14">
        <f>(K40-C40)*1</f>
        <v>50</v>
      </c>
      <c r="U40" s="10">
        <f t="shared" si="16"/>
        <v>-25</v>
      </c>
    </row>
    <row r="41" s="19" customFormat="1" spans="1:21">
      <c r="A41" s="10" t="s">
        <v>217</v>
      </c>
      <c r="B41" s="11">
        <f t="shared" si="12"/>
        <v>55</v>
      </c>
      <c r="C41" s="11">
        <f t="shared" si="19"/>
        <v>20</v>
      </c>
      <c r="D41" s="11">
        <v>500</v>
      </c>
      <c r="E41" s="11">
        <v>0</v>
      </c>
      <c r="F41" s="8">
        <v>0</v>
      </c>
      <c r="G41" s="8">
        <v>100</v>
      </c>
      <c r="H41" s="8">
        <v>100</v>
      </c>
      <c r="I41" s="8">
        <v>0</v>
      </c>
      <c r="J41" s="8">
        <f t="shared" si="14"/>
        <v>45</v>
      </c>
      <c r="K41" s="14">
        <f>75+N41*10</f>
        <v>75</v>
      </c>
      <c r="L41" s="14">
        <f t="shared" si="20"/>
        <v>10</v>
      </c>
      <c r="M41" s="14">
        <v>600</v>
      </c>
      <c r="N41" s="15">
        <v>0</v>
      </c>
      <c r="O41" s="14">
        <v>0</v>
      </c>
      <c r="P41" s="14">
        <f t="shared" si="15"/>
        <v>55</v>
      </c>
      <c r="Q41" s="14">
        <v>100</v>
      </c>
      <c r="R41" s="14">
        <v>1</v>
      </c>
      <c r="S41" s="14">
        <v>0</v>
      </c>
      <c r="T41" s="14">
        <v>0</v>
      </c>
      <c r="U41" s="10">
        <f t="shared" si="16"/>
        <v>270</v>
      </c>
    </row>
    <row r="42" s="19" customFormat="1" spans="1:21">
      <c r="A42" s="10" t="s">
        <v>218</v>
      </c>
      <c r="B42" s="11">
        <f t="shared" si="12"/>
        <v>55</v>
      </c>
      <c r="C42" s="11">
        <f t="shared" si="19"/>
        <v>20</v>
      </c>
      <c r="D42" s="11">
        <v>500</v>
      </c>
      <c r="E42" s="11">
        <v>0</v>
      </c>
      <c r="F42" s="8">
        <v>0</v>
      </c>
      <c r="G42" s="8">
        <v>100</v>
      </c>
      <c r="H42" s="8">
        <v>100</v>
      </c>
      <c r="I42" s="8">
        <v>0</v>
      </c>
      <c r="J42" s="8">
        <f>(B42-L42)*(G42/H42)*50%</f>
        <v>22.5</v>
      </c>
      <c r="K42" s="14">
        <f>55+N42*5</f>
        <v>55</v>
      </c>
      <c r="L42" s="14">
        <f t="shared" si="20"/>
        <v>10</v>
      </c>
      <c r="M42" s="14">
        <v>600</v>
      </c>
      <c r="N42" s="14">
        <v>0</v>
      </c>
      <c r="O42" s="14">
        <v>0</v>
      </c>
      <c r="P42" s="14">
        <f t="shared" si="15"/>
        <v>77.5</v>
      </c>
      <c r="Q42" s="14">
        <f>100+N42*25</f>
        <v>100</v>
      </c>
      <c r="R42" s="14">
        <v>1</v>
      </c>
      <c r="S42" s="14">
        <v>0</v>
      </c>
      <c r="T42" s="14">
        <v>0</v>
      </c>
      <c r="U42" s="10">
        <f t="shared" si="16"/>
        <v>135</v>
      </c>
    </row>
    <row r="43" s="19" customFormat="1" spans="1:21">
      <c r="A43" s="10" t="s">
        <v>219</v>
      </c>
      <c r="B43" s="11">
        <f t="shared" si="12"/>
        <v>55</v>
      </c>
      <c r="C43" s="11">
        <f t="shared" si="21"/>
        <v>30</v>
      </c>
      <c r="D43" s="11">
        <v>500</v>
      </c>
      <c r="E43" s="11">
        <v>0</v>
      </c>
      <c r="F43" s="8">
        <v>0</v>
      </c>
      <c r="G43" s="8">
        <v>100</v>
      </c>
      <c r="H43" s="8">
        <v>100</v>
      </c>
      <c r="I43" s="8">
        <v>0</v>
      </c>
      <c r="J43" s="8">
        <f t="shared" ref="J43:J46" si="22">(B43-L43)*(G43/H43)</f>
        <v>35</v>
      </c>
      <c r="K43" s="14">
        <f>55+N43*10</f>
        <v>55</v>
      </c>
      <c r="L43" s="14">
        <f>20+N43*5</f>
        <v>20</v>
      </c>
      <c r="M43" s="14">
        <v>600</v>
      </c>
      <c r="N43" s="15">
        <v>0</v>
      </c>
      <c r="O43" s="14">
        <v>0</v>
      </c>
      <c r="P43" s="14">
        <f t="shared" si="15"/>
        <v>65</v>
      </c>
      <c r="Q43" s="14">
        <f>100+N43*10</f>
        <v>100</v>
      </c>
      <c r="R43" s="14">
        <v>1</v>
      </c>
      <c r="S43" s="14">
        <v>0</v>
      </c>
      <c r="T43" s="14">
        <v>0</v>
      </c>
      <c r="U43" s="10">
        <f t="shared" si="16"/>
        <v>210</v>
      </c>
    </row>
    <row r="44" s="19" customFormat="1" spans="1:21">
      <c r="A44" s="10" t="s">
        <v>220</v>
      </c>
      <c r="B44" s="11">
        <f t="shared" si="12"/>
        <v>55</v>
      </c>
      <c r="C44" s="11">
        <f t="shared" si="21"/>
        <v>30</v>
      </c>
      <c r="D44" s="11">
        <v>500</v>
      </c>
      <c r="E44" s="11">
        <v>0</v>
      </c>
      <c r="F44" s="8">
        <v>0</v>
      </c>
      <c r="G44" s="8">
        <v>100</v>
      </c>
      <c r="H44" s="8">
        <v>100</v>
      </c>
      <c r="I44" s="8">
        <v>0</v>
      </c>
      <c r="J44" s="8">
        <f t="shared" si="22"/>
        <v>25</v>
      </c>
      <c r="K44" s="14">
        <f>40+N44*5</f>
        <v>40</v>
      </c>
      <c r="L44" s="14">
        <f>30+N44*5</f>
        <v>30</v>
      </c>
      <c r="M44" s="14">
        <v>600</v>
      </c>
      <c r="N44" s="14">
        <v>0</v>
      </c>
      <c r="O44" s="14">
        <v>0</v>
      </c>
      <c r="P44" s="14">
        <f t="shared" si="15"/>
        <v>75</v>
      </c>
      <c r="Q44" s="14">
        <v>100</v>
      </c>
      <c r="R44" s="14">
        <v>1</v>
      </c>
      <c r="S44" s="14">
        <v>0</v>
      </c>
      <c r="T44" s="14">
        <v>0</v>
      </c>
      <c r="U44" s="10">
        <f t="shared" si="16"/>
        <v>150</v>
      </c>
    </row>
    <row r="45" s="19" customFormat="1" spans="1:21">
      <c r="A45" s="10" t="s">
        <v>221</v>
      </c>
      <c r="B45" s="11">
        <f t="shared" si="12"/>
        <v>55</v>
      </c>
      <c r="C45" s="11">
        <f t="shared" ref="C45:C49" si="23">20+E45*5</f>
        <v>20</v>
      </c>
      <c r="D45" s="11">
        <v>500</v>
      </c>
      <c r="E45" s="11">
        <v>0</v>
      </c>
      <c r="F45" s="8">
        <v>0</v>
      </c>
      <c r="G45" s="8">
        <v>100</v>
      </c>
      <c r="H45" s="8">
        <v>100</v>
      </c>
      <c r="I45" s="8">
        <v>0</v>
      </c>
      <c r="J45" s="8">
        <f t="shared" si="22"/>
        <v>50</v>
      </c>
      <c r="K45" s="14">
        <f>60+N45*5</f>
        <v>60</v>
      </c>
      <c r="L45" s="14">
        <f>5+N45*5</f>
        <v>5</v>
      </c>
      <c r="M45" s="14">
        <v>800</v>
      </c>
      <c r="N45" s="15">
        <v>0</v>
      </c>
      <c r="O45" s="14">
        <v>0</v>
      </c>
      <c r="P45" s="14">
        <f t="shared" si="15"/>
        <v>50</v>
      </c>
      <c r="Q45" s="14">
        <v>100</v>
      </c>
      <c r="R45" s="14">
        <v>1</v>
      </c>
      <c r="S45" s="14">
        <v>0</v>
      </c>
      <c r="T45" s="14">
        <v>0</v>
      </c>
      <c r="U45" s="10">
        <f t="shared" si="16"/>
        <v>400</v>
      </c>
    </row>
    <row r="46" s="19" customFormat="1" spans="1:21">
      <c r="A46" s="10" t="s">
        <v>222</v>
      </c>
      <c r="B46" s="11">
        <f t="shared" si="12"/>
        <v>55</v>
      </c>
      <c r="C46" s="11">
        <f t="shared" si="23"/>
        <v>20</v>
      </c>
      <c r="D46" s="11">
        <v>500</v>
      </c>
      <c r="E46" s="11">
        <v>0</v>
      </c>
      <c r="F46" s="8">
        <v>0</v>
      </c>
      <c r="G46" s="8">
        <v>100</v>
      </c>
      <c r="H46" s="8">
        <v>100</v>
      </c>
      <c r="I46" s="8">
        <v>0</v>
      </c>
      <c r="J46" s="8">
        <f t="shared" si="22"/>
        <v>45</v>
      </c>
      <c r="K46" s="14">
        <f>60+N46*10</f>
        <v>60</v>
      </c>
      <c r="L46" s="14">
        <f>10+N46*5</f>
        <v>10</v>
      </c>
      <c r="M46" s="14">
        <v>800</v>
      </c>
      <c r="N46" s="14">
        <v>0</v>
      </c>
      <c r="O46" s="14">
        <v>0</v>
      </c>
      <c r="P46" s="14">
        <f t="shared" si="15"/>
        <v>55</v>
      </c>
      <c r="Q46" s="14">
        <v>100</v>
      </c>
      <c r="R46" s="14">
        <v>1</v>
      </c>
      <c r="S46" s="14">
        <v>0</v>
      </c>
      <c r="T46" s="14">
        <v>0</v>
      </c>
      <c r="U46" s="10">
        <f t="shared" si="16"/>
        <v>360</v>
      </c>
    </row>
    <row r="47" s="19" customFormat="1" spans="1:21">
      <c r="A47" s="10" t="s">
        <v>223</v>
      </c>
      <c r="B47" s="11">
        <f t="shared" si="12"/>
        <v>55</v>
      </c>
      <c r="C47" s="11">
        <f>30+E47*5</f>
        <v>30</v>
      </c>
      <c r="D47" s="11">
        <v>500</v>
      </c>
      <c r="E47" s="11">
        <v>0</v>
      </c>
      <c r="F47" s="8">
        <v>0</v>
      </c>
      <c r="G47" s="8">
        <v>100</v>
      </c>
      <c r="H47" s="8">
        <v>100</v>
      </c>
      <c r="I47" s="8">
        <v>0</v>
      </c>
      <c r="J47" s="8">
        <f>(B47-L47)*(G47/H47)*50%</f>
        <v>15</v>
      </c>
      <c r="K47" s="14">
        <f>70+N47*10</f>
        <v>70</v>
      </c>
      <c r="L47" s="14">
        <f>25+N47*5</f>
        <v>25</v>
      </c>
      <c r="M47" s="14">
        <v>1000</v>
      </c>
      <c r="N47" s="15">
        <v>0</v>
      </c>
      <c r="O47" s="14">
        <v>0</v>
      </c>
      <c r="P47" s="14">
        <f t="shared" si="15"/>
        <v>85</v>
      </c>
      <c r="Q47" s="14">
        <v>100</v>
      </c>
      <c r="R47" s="14">
        <v>1</v>
      </c>
      <c r="S47" s="14">
        <v>0</v>
      </c>
      <c r="T47" s="14">
        <v>0</v>
      </c>
      <c r="U47" s="10">
        <f t="shared" si="16"/>
        <v>150</v>
      </c>
    </row>
    <row r="48" s="19" customFormat="1" spans="1:21">
      <c r="A48" s="10" t="s">
        <v>224</v>
      </c>
      <c r="B48" s="11">
        <f t="shared" si="12"/>
        <v>55</v>
      </c>
      <c r="C48" s="11">
        <f t="shared" si="23"/>
        <v>20</v>
      </c>
      <c r="D48" s="11">
        <v>500</v>
      </c>
      <c r="E48" s="11">
        <v>0</v>
      </c>
      <c r="F48" s="8">
        <v>0</v>
      </c>
      <c r="G48" s="8">
        <v>100</v>
      </c>
      <c r="H48" s="8">
        <v>100</v>
      </c>
      <c r="I48" s="8">
        <v>0</v>
      </c>
      <c r="J48" s="8">
        <f>(B48-L48)*(G48/H48)</f>
        <v>35</v>
      </c>
      <c r="K48" s="14">
        <f>60+N48*10</f>
        <v>60</v>
      </c>
      <c r="L48" s="14">
        <f>20+N48*5</f>
        <v>20</v>
      </c>
      <c r="M48" s="14">
        <v>600</v>
      </c>
      <c r="N48" s="14">
        <v>0</v>
      </c>
      <c r="O48" s="14">
        <v>0</v>
      </c>
      <c r="P48" s="14">
        <f t="shared" si="15"/>
        <v>65</v>
      </c>
      <c r="Q48" s="14">
        <v>100</v>
      </c>
      <c r="R48" s="14">
        <v>1</v>
      </c>
      <c r="S48" s="14">
        <v>0</v>
      </c>
      <c r="T48" s="14">
        <v>0</v>
      </c>
      <c r="U48" s="10">
        <f t="shared" si="16"/>
        <v>210</v>
      </c>
    </row>
    <row r="49" s="19" customFormat="1" spans="1:21">
      <c r="A49" s="10" t="s">
        <v>225</v>
      </c>
      <c r="B49" s="11">
        <f t="shared" si="12"/>
        <v>55</v>
      </c>
      <c r="C49" s="11">
        <f t="shared" si="23"/>
        <v>20</v>
      </c>
      <c r="D49" s="11">
        <v>500</v>
      </c>
      <c r="E49" s="11">
        <v>0</v>
      </c>
      <c r="F49" s="8">
        <v>0</v>
      </c>
      <c r="G49" s="8">
        <v>100</v>
      </c>
      <c r="H49" s="8">
        <v>100</v>
      </c>
      <c r="I49" s="8">
        <v>0</v>
      </c>
      <c r="J49" s="8">
        <f>(B49-L49)*(G49/H49)</f>
        <v>50</v>
      </c>
      <c r="K49" s="14">
        <f>40+N49*10</f>
        <v>40</v>
      </c>
      <c r="L49" s="14">
        <f>5+N49*5</f>
        <v>5</v>
      </c>
      <c r="M49" s="14">
        <v>150</v>
      </c>
      <c r="N49" s="15">
        <v>0</v>
      </c>
      <c r="O49" s="14">
        <v>0</v>
      </c>
      <c r="P49" s="14">
        <f t="shared" si="15"/>
        <v>50</v>
      </c>
      <c r="Q49" s="14">
        <v>100</v>
      </c>
      <c r="R49" s="14">
        <v>1</v>
      </c>
      <c r="S49" s="14">
        <v>0</v>
      </c>
      <c r="T49" s="14">
        <v>0</v>
      </c>
      <c r="U49" s="10">
        <f t="shared" si="16"/>
        <v>75</v>
      </c>
    </row>
  </sheetData>
  <mergeCells count="16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B28:J28"/>
    <mergeCell ref="K28:T28"/>
    <mergeCell ref="U5:U6"/>
    <mergeCell ref="U28:U29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zoomScale="90" zoomScaleNormal="90" workbookViewId="0">
      <selection activeCell="L7" sqref="L7:L26"/>
    </sheetView>
  </sheetViews>
  <sheetFormatPr defaultColWidth="14" defaultRowHeight="15"/>
  <cols>
    <col min="1" max="1" width="18.1090909090909" style="1" customWidth="1"/>
    <col min="2" max="3" width="8.33636363636364" style="1" customWidth="1"/>
    <col min="4" max="7" width="6.10909090909091" style="1" customWidth="1"/>
    <col min="8" max="8" width="8.33636363636364" style="1" customWidth="1"/>
    <col min="9" max="9" width="18.1090909090909" style="1" customWidth="1"/>
    <col min="10" max="10" width="10.6636363636364" style="1" customWidth="1"/>
    <col min="11" max="12" width="8.33636363636364" style="1" customWidth="1"/>
    <col min="13" max="16" width="6.10909090909091" style="1" customWidth="1"/>
    <col min="17" max="17" width="8.33636363636364" style="1" customWidth="1"/>
    <col min="18" max="18" width="10.6636363636364" style="1" customWidth="1"/>
    <col min="19" max="19" width="18.1090909090909" style="1" customWidth="1"/>
    <col min="20" max="21" width="10.6636363636364" style="1" customWidth="1"/>
    <col min="22" max="22" width="38.1090909090909" style="1" customWidth="1"/>
    <col min="23" max="23" width="15.6636363636364" style="1" customWidth="1"/>
    <col min="24" max="16384" width="14" style="1"/>
  </cols>
  <sheetData>
    <row r="1" s="1" customForma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="1" customFormat="1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" customFormat="1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T4" s="16" t="s">
        <v>6</v>
      </c>
      <c r="U4" s="17"/>
    </row>
    <row r="5" s="1" customFormat="1" spans="1:21">
      <c r="A5" s="7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="1" customFormat="1" spans="1:21">
      <c r="A6" s="9"/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="1" customFormat="1" spans="1:21">
      <c r="A7" s="10" t="s">
        <v>226</v>
      </c>
      <c r="B7" s="11">
        <f>70+E7*10</f>
        <v>70</v>
      </c>
      <c r="C7" s="11">
        <f t="shared" ref="C7:C10" si="0">20+E7*5</f>
        <v>20</v>
      </c>
      <c r="D7" s="11">
        <v>500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>(B7-L7)*1</f>
        <v>65</v>
      </c>
      <c r="K7" s="15">
        <f>55+N7*10</f>
        <v>55</v>
      </c>
      <c r="L7" s="15">
        <f t="shared" ref="L7:L10" si="1">5+N7*5</f>
        <v>5</v>
      </c>
      <c r="M7" s="15">
        <v>150</v>
      </c>
      <c r="N7" s="15">
        <v>0</v>
      </c>
      <c r="O7" s="14">
        <v>0</v>
      </c>
      <c r="P7" s="14">
        <f t="shared" ref="P7:P26" si="2">Q7-J7</f>
        <v>35</v>
      </c>
      <c r="Q7" s="14">
        <v>100</v>
      </c>
      <c r="R7" s="14">
        <v>1</v>
      </c>
      <c r="S7" s="14">
        <v>0</v>
      </c>
      <c r="T7" s="14">
        <f t="shared" ref="T7:T9" si="3">(K7-C7)*(P7/Q7)</f>
        <v>12.25</v>
      </c>
      <c r="U7" s="10">
        <f t="shared" ref="U7:U26" si="4">(M7*(N7/3+1)*(J7*R7+S7)-(D7*(E7/3+1))*(T7+I7))/100</f>
        <v>36.25</v>
      </c>
    </row>
    <row r="8" s="1" customFormat="1" spans="1:21">
      <c r="A8" s="10" t="s">
        <v>227</v>
      </c>
      <c r="B8" s="11">
        <f t="shared" ref="B8:B26" si="5">70+E8*10</f>
        <v>70</v>
      </c>
      <c r="C8" s="11">
        <f t="shared" ref="C8:C14" si="6">10+F8*5</f>
        <v>10</v>
      </c>
      <c r="D8" s="11">
        <v>500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ref="J8:J26" si="7">(B8-L8)*1</f>
        <v>65</v>
      </c>
      <c r="K8" s="15">
        <f t="shared" ref="K8:K13" si="8">50+N8*10</f>
        <v>50</v>
      </c>
      <c r="L8" s="15">
        <f t="shared" si="1"/>
        <v>5</v>
      </c>
      <c r="M8" s="14">
        <v>200</v>
      </c>
      <c r="N8" s="15">
        <v>0</v>
      </c>
      <c r="O8" s="14">
        <v>0</v>
      </c>
      <c r="P8" s="14">
        <f t="shared" si="2"/>
        <v>35</v>
      </c>
      <c r="Q8" s="14">
        <v>100</v>
      </c>
      <c r="R8" s="14">
        <v>1</v>
      </c>
      <c r="S8" s="14">
        <v>0</v>
      </c>
      <c r="T8" s="14">
        <f t="shared" si="3"/>
        <v>14</v>
      </c>
      <c r="U8" s="10">
        <f t="shared" si="4"/>
        <v>60</v>
      </c>
    </row>
    <row r="9" s="1" customFormat="1" spans="1:21">
      <c r="A9" s="10" t="s">
        <v>228</v>
      </c>
      <c r="B9" s="11">
        <f t="shared" si="5"/>
        <v>70</v>
      </c>
      <c r="C9" s="11">
        <f t="shared" si="0"/>
        <v>20</v>
      </c>
      <c r="D9" s="11">
        <v>500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7"/>
        <v>70</v>
      </c>
      <c r="K9" s="15">
        <f>40+N9*10</f>
        <v>40</v>
      </c>
      <c r="L9" s="15">
        <f t="shared" ref="L9:L14" si="9">0+N9*5</f>
        <v>0</v>
      </c>
      <c r="M9" s="14">
        <v>200</v>
      </c>
      <c r="N9" s="15">
        <v>0</v>
      </c>
      <c r="O9" s="14">
        <v>0</v>
      </c>
      <c r="P9" s="14">
        <f t="shared" si="2"/>
        <v>30</v>
      </c>
      <c r="Q9" s="14">
        <v>100</v>
      </c>
      <c r="R9" s="14">
        <v>1</v>
      </c>
      <c r="S9" s="14">
        <v>0</v>
      </c>
      <c r="T9" s="14">
        <f t="shared" si="3"/>
        <v>6</v>
      </c>
      <c r="U9" s="10">
        <f t="shared" si="4"/>
        <v>110</v>
      </c>
    </row>
    <row r="10" s="1" customFormat="1" spans="1:21">
      <c r="A10" s="10" t="s">
        <v>229</v>
      </c>
      <c r="B10" s="11">
        <f t="shared" si="5"/>
        <v>70</v>
      </c>
      <c r="C10" s="11">
        <f t="shared" si="0"/>
        <v>20</v>
      </c>
      <c r="D10" s="11">
        <v>500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7"/>
        <v>65</v>
      </c>
      <c r="K10" s="15">
        <f>45+N10*10</f>
        <v>45</v>
      </c>
      <c r="L10" s="15">
        <f t="shared" si="1"/>
        <v>5</v>
      </c>
      <c r="M10" s="14">
        <v>250</v>
      </c>
      <c r="N10" s="15">
        <v>0</v>
      </c>
      <c r="O10" s="14">
        <v>0</v>
      </c>
      <c r="P10" s="14">
        <f t="shared" si="2"/>
        <v>35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4"/>
        <v>162.5</v>
      </c>
    </row>
    <row r="11" s="1" customFormat="1" spans="1:21">
      <c r="A11" s="10" t="s">
        <v>230</v>
      </c>
      <c r="B11" s="11">
        <f t="shared" si="5"/>
        <v>70</v>
      </c>
      <c r="C11" s="11">
        <f t="shared" si="6"/>
        <v>10</v>
      </c>
      <c r="D11" s="11">
        <v>500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7"/>
        <v>30</v>
      </c>
      <c r="K11" s="15">
        <f t="shared" si="8"/>
        <v>50</v>
      </c>
      <c r="L11" s="15">
        <f>40+N11*5</f>
        <v>40</v>
      </c>
      <c r="M11" s="14">
        <v>250</v>
      </c>
      <c r="N11" s="15">
        <v>0</v>
      </c>
      <c r="O11" s="14">
        <v>0</v>
      </c>
      <c r="P11" s="14">
        <f t="shared" si="2"/>
        <v>70</v>
      </c>
      <c r="Q11" s="14">
        <f>100+N11*5</f>
        <v>100</v>
      </c>
      <c r="R11" s="14">
        <v>1</v>
      </c>
      <c r="S11" s="14">
        <v>0</v>
      </c>
      <c r="T11" s="14">
        <f t="shared" ref="T11:T16" si="10">(K11-C11)*(P11/Q11)</f>
        <v>28</v>
      </c>
      <c r="U11" s="10">
        <f t="shared" si="4"/>
        <v>-65</v>
      </c>
    </row>
    <row r="12" s="1" customFormat="1" spans="1:21">
      <c r="A12" s="10" t="s">
        <v>231</v>
      </c>
      <c r="B12" s="11">
        <f t="shared" si="5"/>
        <v>70</v>
      </c>
      <c r="C12" s="11">
        <f t="shared" ref="C12:C19" si="11">20+E12*5</f>
        <v>20</v>
      </c>
      <c r="D12" s="11">
        <v>500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7"/>
        <v>55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2"/>
        <v>45</v>
      </c>
      <c r="Q12" s="14">
        <v>100</v>
      </c>
      <c r="R12" s="14">
        <v>1</v>
      </c>
      <c r="S12" s="14">
        <v>0</v>
      </c>
      <c r="T12" s="14">
        <f t="shared" si="10"/>
        <v>18</v>
      </c>
      <c r="U12" s="10">
        <f t="shared" si="4"/>
        <v>75</v>
      </c>
    </row>
    <row r="13" s="1" customFormat="1" spans="1:21">
      <c r="A13" s="10" t="s">
        <v>232</v>
      </c>
      <c r="B13" s="11">
        <f t="shared" si="5"/>
        <v>70</v>
      </c>
      <c r="C13" s="11">
        <f t="shared" si="6"/>
        <v>10</v>
      </c>
      <c r="D13" s="11">
        <v>500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7"/>
        <v>70</v>
      </c>
      <c r="K13" s="15">
        <f t="shared" si="8"/>
        <v>50</v>
      </c>
      <c r="L13" s="15">
        <f t="shared" si="9"/>
        <v>0</v>
      </c>
      <c r="M13" s="14">
        <v>300</v>
      </c>
      <c r="N13" s="15">
        <v>0</v>
      </c>
      <c r="O13" s="14">
        <v>0</v>
      </c>
      <c r="P13" s="14">
        <f t="shared" si="2"/>
        <v>30</v>
      </c>
      <c r="Q13" s="14">
        <v>100</v>
      </c>
      <c r="R13" s="14">
        <v>1</v>
      </c>
      <c r="S13" s="14">
        <v>0</v>
      </c>
      <c r="T13" s="14">
        <f t="shared" si="10"/>
        <v>12</v>
      </c>
      <c r="U13" s="10">
        <f t="shared" si="4"/>
        <v>150</v>
      </c>
    </row>
    <row r="14" s="1" customFormat="1" spans="1:21">
      <c r="A14" s="10" t="s">
        <v>233</v>
      </c>
      <c r="B14" s="11">
        <f t="shared" si="5"/>
        <v>70</v>
      </c>
      <c r="C14" s="11">
        <f t="shared" si="6"/>
        <v>10</v>
      </c>
      <c r="D14" s="11">
        <v>500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7"/>
        <v>70</v>
      </c>
      <c r="K14" s="15">
        <f>45+N14*5</f>
        <v>45</v>
      </c>
      <c r="L14" s="15">
        <f t="shared" si="9"/>
        <v>0</v>
      </c>
      <c r="M14" s="14">
        <v>400</v>
      </c>
      <c r="N14" s="15">
        <v>0</v>
      </c>
      <c r="O14" s="14">
        <v>0</v>
      </c>
      <c r="P14" s="14">
        <f t="shared" si="2"/>
        <v>30</v>
      </c>
      <c r="Q14" s="14">
        <v>100</v>
      </c>
      <c r="R14" s="14">
        <v>1</v>
      </c>
      <c r="S14" s="14">
        <v>0</v>
      </c>
      <c r="T14" s="14">
        <f t="shared" si="10"/>
        <v>10.5</v>
      </c>
      <c r="U14" s="10">
        <f t="shared" si="4"/>
        <v>227.5</v>
      </c>
    </row>
    <row r="15" s="1" customFormat="1" spans="1:21">
      <c r="A15" s="10" t="s">
        <v>234</v>
      </c>
      <c r="B15" s="11">
        <f t="shared" si="5"/>
        <v>70</v>
      </c>
      <c r="C15" s="11">
        <f t="shared" si="11"/>
        <v>20</v>
      </c>
      <c r="D15" s="11">
        <v>500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7"/>
        <v>60</v>
      </c>
      <c r="K15" s="15">
        <f>50+N15*5</f>
        <v>50</v>
      </c>
      <c r="L15" s="15">
        <f>10+N15*5</f>
        <v>10</v>
      </c>
      <c r="M15" s="14">
        <v>400</v>
      </c>
      <c r="N15" s="15">
        <v>0</v>
      </c>
      <c r="O15" s="14">
        <v>0</v>
      </c>
      <c r="P15" s="14">
        <f t="shared" si="2"/>
        <v>40</v>
      </c>
      <c r="Q15" s="14">
        <v>100</v>
      </c>
      <c r="R15" s="14">
        <v>1</v>
      </c>
      <c r="S15" s="14">
        <v>0</v>
      </c>
      <c r="T15" s="14">
        <f t="shared" si="10"/>
        <v>12</v>
      </c>
      <c r="U15" s="10">
        <f t="shared" si="4"/>
        <v>180</v>
      </c>
    </row>
    <row r="16" s="1" customFormat="1" spans="1:21">
      <c r="A16" s="10" t="s">
        <v>235</v>
      </c>
      <c r="B16" s="11">
        <f t="shared" si="5"/>
        <v>70</v>
      </c>
      <c r="C16" s="11">
        <f t="shared" ref="C16:C21" si="12">10+F16*5</f>
        <v>10</v>
      </c>
      <c r="D16" s="11">
        <v>500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7"/>
        <v>50</v>
      </c>
      <c r="K16" s="15">
        <f>55+N16*5</f>
        <v>55</v>
      </c>
      <c r="L16" s="15">
        <f t="shared" ref="L16:L18" si="13">20+N16*5</f>
        <v>20</v>
      </c>
      <c r="M16" s="14">
        <v>500</v>
      </c>
      <c r="N16" s="15">
        <v>0</v>
      </c>
      <c r="O16" s="14">
        <v>0</v>
      </c>
      <c r="P16" s="14">
        <f t="shared" si="2"/>
        <v>50</v>
      </c>
      <c r="Q16" s="14">
        <v>100</v>
      </c>
      <c r="R16" s="14">
        <v>1</v>
      </c>
      <c r="S16" s="14">
        <v>0</v>
      </c>
      <c r="T16" s="14">
        <f t="shared" si="10"/>
        <v>22.5</v>
      </c>
      <c r="U16" s="10">
        <f t="shared" si="4"/>
        <v>137.5</v>
      </c>
    </row>
    <row r="17" s="1" customFormat="1" spans="1:21">
      <c r="A17" s="10" t="s">
        <v>236</v>
      </c>
      <c r="B17" s="11">
        <f t="shared" si="5"/>
        <v>70</v>
      </c>
      <c r="C17" s="11">
        <f t="shared" si="11"/>
        <v>20</v>
      </c>
      <c r="D17" s="11">
        <v>500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7"/>
        <v>50</v>
      </c>
      <c r="K17" s="14">
        <f>70+N17*10</f>
        <v>70</v>
      </c>
      <c r="L17" s="14">
        <f t="shared" si="13"/>
        <v>20</v>
      </c>
      <c r="M17" s="14">
        <v>500</v>
      </c>
      <c r="N17" s="14">
        <v>0</v>
      </c>
      <c r="O17" s="14">
        <v>0</v>
      </c>
      <c r="P17" s="14">
        <f t="shared" si="2"/>
        <v>50</v>
      </c>
      <c r="Q17" s="14">
        <v>100</v>
      </c>
      <c r="R17" s="14">
        <v>1</v>
      </c>
      <c r="S17" s="14">
        <v>0</v>
      </c>
      <c r="T17" s="14">
        <f>(K17-C17)*1</f>
        <v>50</v>
      </c>
      <c r="U17" s="10">
        <f t="shared" si="4"/>
        <v>0</v>
      </c>
    </row>
    <row r="18" s="1" customFormat="1" spans="1:21">
      <c r="A18" s="10" t="s">
        <v>237</v>
      </c>
      <c r="B18" s="11">
        <f t="shared" si="5"/>
        <v>70</v>
      </c>
      <c r="C18" s="11">
        <f t="shared" si="11"/>
        <v>20</v>
      </c>
      <c r="D18" s="11">
        <v>500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7"/>
        <v>50</v>
      </c>
      <c r="K18" s="14">
        <f>75+N18*10</f>
        <v>75</v>
      </c>
      <c r="L18" s="14">
        <f t="shared" si="13"/>
        <v>20</v>
      </c>
      <c r="M18" s="14">
        <v>600</v>
      </c>
      <c r="N18" s="15">
        <v>0</v>
      </c>
      <c r="O18" s="14">
        <v>0</v>
      </c>
      <c r="P18" s="14">
        <f t="shared" si="2"/>
        <v>50</v>
      </c>
      <c r="Q18" s="14">
        <v>100</v>
      </c>
      <c r="R18" s="14">
        <v>1</v>
      </c>
      <c r="S18" s="14">
        <v>0</v>
      </c>
      <c r="T18" s="14">
        <f t="shared" ref="T18:T21" si="14">(K18-C18)*(P18/Q18)</f>
        <v>27.5</v>
      </c>
      <c r="U18" s="10">
        <f t="shared" si="4"/>
        <v>162.5</v>
      </c>
    </row>
    <row r="19" s="1" customFormat="1" spans="1:21">
      <c r="A19" s="10" t="s">
        <v>238</v>
      </c>
      <c r="B19" s="11">
        <f t="shared" si="5"/>
        <v>70</v>
      </c>
      <c r="C19" s="11">
        <f t="shared" si="11"/>
        <v>20</v>
      </c>
      <c r="D19" s="11">
        <v>500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7"/>
        <v>40</v>
      </c>
      <c r="K19" s="14">
        <f>55+N19*5</f>
        <v>55</v>
      </c>
      <c r="L19" s="14">
        <f>30+N19*5</f>
        <v>30</v>
      </c>
      <c r="M19" s="14">
        <v>600</v>
      </c>
      <c r="N19" s="14">
        <v>0</v>
      </c>
      <c r="O19" s="14">
        <v>0</v>
      </c>
      <c r="P19" s="14">
        <f t="shared" si="2"/>
        <v>60</v>
      </c>
      <c r="Q19" s="14">
        <f>100+N19*25</f>
        <v>100</v>
      </c>
      <c r="R19" s="14">
        <v>1</v>
      </c>
      <c r="S19" s="14">
        <v>0</v>
      </c>
      <c r="T19" s="14">
        <f t="shared" si="14"/>
        <v>21</v>
      </c>
      <c r="U19" s="10">
        <f t="shared" si="4"/>
        <v>135</v>
      </c>
    </row>
    <row r="20" s="1" customFormat="1" spans="1:21">
      <c r="A20" s="10" t="s">
        <v>239</v>
      </c>
      <c r="B20" s="11">
        <f t="shared" si="5"/>
        <v>70</v>
      </c>
      <c r="C20" s="11">
        <f t="shared" si="12"/>
        <v>10</v>
      </c>
      <c r="D20" s="11">
        <v>500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7"/>
        <v>60</v>
      </c>
      <c r="K20" s="14">
        <f>55+N20*10</f>
        <v>55</v>
      </c>
      <c r="L20" s="14">
        <f>10+N20*5</f>
        <v>10</v>
      </c>
      <c r="M20" s="14">
        <v>600</v>
      </c>
      <c r="N20" s="15">
        <v>0</v>
      </c>
      <c r="O20" s="14">
        <v>0</v>
      </c>
      <c r="P20" s="14">
        <f t="shared" si="2"/>
        <v>40</v>
      </c>
      <c r="Q20" s="14">
        <f>100+N20*10</f>
        <v>100</v>
      </c>
      <c r="R20" s="14">
        <v>1</v>
      </c>
      <c r="S20" s="14">
        <v>0</v>
      </c>
      <c r="T20" s="14">
        <f t="shared" si="14"/>
        <v>18</v>
      </c>
      <c r="U20" s="10">
        <f t="shared" si="4"/>
        <v>270</v>
      </c>
    </row>
    <row r="21" s="1" customFormat="1" spans="1:21">
      <c r="A21" s="10" t="s">
        <v>240</v>
      </c>
      <c r="B21" s="11">
        <f t="shared" si="5"/>
        <v>70</v>
      </c>
      <c r="C21" s="11">
        <f t="shared" si="12"/>
        <v>10</v>
      </c>
      <c r="D21" s="11">
        <v>500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7"/>
        <v>70</v>
      </c>
      <c r="K21" s="14">
        <f>40+N21*5</f>
        <v>40</v>
      </c>
      <c r="L21" s="14">
        <f>0+N21*5</f>
        <v>0</v>
      </c>
      <c r="M21" s="14">
        <v>600</v>
      </c>
      <c r="N21" s="14">
        <v>0</v>
      </c>
      <c r="O21" s="14">
        <v>0</v>
      </c>
      <c r="P21" s="14">
        <f t="shared" si="2"/>
        <v>30</v>
      </c>
      <c r="Q21" s="14">
        <v>100</v>
      </c>
      <c r="R21" s="14">
        <v>1</v>
      </c>
      <c r="S21" s="14">
        <v>0</v>
      </c>
      <c r="T21" s="14">
        <f t="shared" si="14"/>
        <v>9</v>
      </c>
      <c r="U21" s="10">
        <f t="shared" si="4"/>
        <v>375</v>
      </c>
    </row>
    <row r="22" s="1" customFormat="1" spans="1:21">
      <c r="A22" s="10" t="s">
        <v>241</v>
      </c>
      <c r="B22" s="11">
        <f t="shared" si="5"/>
        <v>70</v>
      </c>
      <c r="C22" s="11">
        <f t="shared" ref="C22:C26" si="15">20+E22*5</f>
        <v>20</v>
      </c>
      <c r="D22" s="11">
        <v>500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7"/>
        <v>65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2"/>
        <v>35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4"/>
        <v>520</v>
      </c>
    </row>
    <row r="23" s="1" customFormat="1" spans="1:21">
      <c r="A23" s="10" t="s">
        <v>242</v>
      </c>
      <c r="B23" s="11">
        <f t="shared" si="5"/>
        <v>70</v>
      </c>
      <c r="C23" s="11">
        <f t="shared" si="15"/>
        <v>20</v>
      </c>
      <c r="D23" s="11">
        <v>500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7"/>
        <v>50</v>
      </c>
      <c r="K23" s="14">
        <f>60+N23*10</f>
        <v>60</v>
      </c>
      <c r="L23" s="14">
        <f>20+N23*5</f>
        <v>20</v>
      </c>
      <c r="M23" s="14">
        <v>800</v>
      </c>
      <c r="N23" s="14">
        <v>0</v>
      </c>
      <c r="O23" s="14">
        <v>0</v>
      </c>
      <c r="P23" s="14">
        <f t="shared" si="2"/>
        <v>50</v>
      </c>
      <c r="Q23" s="14">
        <v>100</v>
      </c>
      <c r="R23" s="14">
        <v>1</v>
      </c>
      <c r="S23" s="14">
        <v>0</v>
      </c>
      <c r="T23" s="14">
        <f t="shared" ref="T23:T26" si="16">(K23-C23)*(P23/Q23)</f>
        <v>20</v>
      </c>
      <c r="U23" s="10">
        <f t="shared" si="4"/>
        <v>300</v>
      </c>
    </row>
    <row r="24" s="1" customFormat="1" spans="1:21">
      <c r="A24" s="10" t="s">
        <v>243</v>
      </c>
      <c r="B24" s="11">
        <f t="shared" si="5"/>
        <v>70</v>
      </c>
      <c r="C24" s="11">
        <f>10+F24*5</f>
        <v>10</v>
      </c>
      <c r="D24" s="11">
        <v>500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7"/>
        <v>45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2"/>
        <v>55</v>
      </c>
      <c r="Q24" s="14">
        <v>100</v>
      </c>
      <c r="R24" s="14">
        <v>1</v>
      </c>
      <c r="S24" s="14">
        <v>0</v>
      </c>
      <c r="T24" s="14">
        <f>((K24-C24)*(P24/Q24))*1.5</f>
        <v>49.5</v>
      </c>
      <c r="U24" s="10">
        <f t="shared" si="4"/>
        <v>202.5</v>
      </c>
    </row>
    <row r="25" s="1" customFormat="1" spans="1:21">
      <c r="A25" s="10" t="s">
        <v>244</v>
      </c>
      <c r="B25" s="11">
        <f t="shared" si="5"/>
        <v>70</v>
      </c>
      <c r="C25" s="11">
        <f t="shared" si="15"/>
        <v>20</v>
      </c>
      <c r="D25" s="11">
        <v>500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7"/>
        <v>50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2"/>
        <v>50</v>
      </c>
      <c r="Q25" s="14">
        <v>100</v>
      </c>
      <c r="R25" s="14">
        <v>1</v>
      </c>
      <c r="S25" s="14">
        <v>0</v>
      </c>
      <c r="T25" s="14">
        <f t="shared" si="16"/>
        <v>20</v>
      </c>
      <c r="U25" s="10">
        <f t="shared" si="4"/>
        <v>200</v>
      </c>
    </row>
    <row r="26" s="1" customFormat="1" spans="1:21">
      <c r="A26" s="10" t="s">
        <v>245</v>
      </c>
      <c r="B26" s="11">
        <f t="shared" si="5"/>
        <v>70</v>
      </c>
      <c r="C26" s="11">
        <f t="shared" si="15"/>
        <v>20</v>
      </c>
      <c r="D26" s="11">
        <v>500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7"/>
        <v>65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2"/>
        <v>35</v>
      </c>
      <c r="Q26" s="14">
        <v>100</v>
      </c>
      <c r="R26" s="14">
        <v>1</v>
      </c>
      <c r="S26" s="14">
        <v>0</v>
      </c>
      <c r="T26" s="14">
        <f t="shared" si="16"/>
        <v>7</v>
      </c>
      <c r="U26" s="10">
        <f t="shared" si="4"/>
        <v>62.5</v>
      </c>
    </row>
  </sheetData>
  <mergeCells count="14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A5:A6"/>
    <mergeCell ref="U5:U6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zoomScale="90" zoomScaleNormal="90" workbookViewId="0">
      <selection activeCell="L7" sqref="L7:L26"/>
    </sheetView>
  </sheetViews>
  <sheetFormatPr defaultColWidth="14" defaultRowHeight="15"/>
  <cols>
    <col min="1" max="1" width="13.1090909090909" style="1" customWidth="1"/>
    <col min="2" max="3" width="8.33636363636364" style="1" customWidth="1"/>
    <col min="4" max="7" width="6.10909090909091" style="1" customWidth="1"/>
    <col min="8" max="8" width="8.33636363636364" style="1" customWidth="1"/>
    <col min="9" max="9" width="18.1090909090909" style="1" customWidth="1"/>
    <col min="10" max="10" width="10.6636363636364" style="1" customWidth="1"/>
    <col min="11" max="12" width="8.33636363636364" style="1" customWidth="1"/>
    <col min="13" max="16" width="6.10909090909091" style="1" customWidth="1"/>
    <col min="17" max="17" width="8.33636363636364" style="1" customWidth="1"/>
    <col min="18" max="18" width="10.6636363636364" style="1" customWidth="1"/>
    <col min="19" max="19" width="18.1090909090909" style="1" customWidth="1"/>
    <col min="20" max="21" width="10.6636363636364" style="1" customWidth="1"/>
    <col min="22" max="22" width="38.1090909090909" style="1" customWidth="1"/>
    <col min="23" max="23" width="15.6636363636364" style="1" customWidth="1"/>
    <col min="24" max="16384" width="14" style="1"/>
  </cols>
  <sheetData>
    <row r="1" s="1" customForma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="1" customFormat="1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" customFormat="1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T4" s="16" t="s">
        <v>6</v>
      </c>
      <c r="U4" s="17"/>
    </row>
    <row r="5" s="1" customFormat="1" spans="1:21">
      <c r="A5" s="7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="1" customFormat="1" spans="1:21">
      <c r="A6" s="9"/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="1" customFormat="1" spans="1:21">
      <c r="A7" s="10" t="s">
        <v>246</v>
      </c>
      <c r="B7" s="11">
        <f>75+E7*10</f>
        <v>75</v>
      </c>
      <c r="C7" s="11">
        <f t="shared" ref="C7:C10" si="0">20+E7*5</f>
        <v>20</v>
      </c>
      <c r="D7" s="11">
        <v>600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 t="shared" ref="J7:J26" si="1">(B7-L7)*(G7/H7)</f>
        <v>70</v>
      </c>
      <c r="K7" s="15">
        <f>55+N7*10</f>
        <v>55</v>
      </c>
      <c r="L7" s="15">
        <f t="shared" ref="L7:L10" si="2">5+N7*5</f>
        <v>5</v>
      </c>
      <c r="M7" s="15">
        <v>150</v>
      </c>
      <c r="N7" s="15">
        <v>0</v>
      </c>
      <c r="O7" s="14">
        <v>0</v>
      </c>
      <c r="P7" s="14">
        <f t="shared" ref="P7:P26" si="3">Q7-J7</f>
        <v>30</v>
      </c>
      <c r="Q7" s="14">
        <v>100</v>
      </c>
      <c r="R7" s="14">
        <v>1</v>
      </c>
      <c r="S7" s="14">
        <v>0</v>
      </c>
      <c r="T7" s="14">
        <f t="shared" ref="T7:T9" si="4">(K7-C7)*(P7/Q7)</f>
        <v>10.5</v>
      </c>
      <c r="U7" s="10">
        <f t="shared" ref="U7:U26" si="5">(M7*(N7/3+1)*(J7*R7+S7)-(D7*(E7/3+1))*(T7+I7))/100</f>
        <v>42</v>
      </c>
    </row>
    <row r="8" s="1" customFormat="1" spans="1:21">
      <c r="A8" s="10" t="s">
        <v>247</v>
      </c>
      <c r="B8" s="11">
        <f t="shared" ref="B8:B26" si="6">75+E8*10</f>
        <v>75</v>
      </c>
      <c r="C8" s="11">
        <f t="shared" ref="C8:C14" si="7">10+E8*5</f>
        <v>10</v>
      </c>
      <c r="D8" s="11">
        <v>600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si="1"/>
        <v>70</v>
      </c>
      <c r="K8" s="15">
        <f t="shared" ref="K8:K13" si="8">50+N8*10</f>
        <v>50</v>
      </c>
      <c r="L8" s="15">
        <f t="shared" si="2"/>
        <v>5</v>
      </c>
      <c r="M8" s="14">
        <v>200</v>
      </c>
      <c r="N8" s="15">
        <v>0</v>
      </c>
      <c r="O8" s="14">
        <v>0</v>
      </c>
      <c r="P8" s="14">
        <f t="shared" si="3"/>
        <v>30</v>
      </c>
      <c r="Q8" s="14">
        <v>100</v>
      </c>
      <c r="R8" s="14">
        <v>1</v>
      </c>
      <c r="S8" s="14">
        <v>0</v>
      </c>
      <c r="T8" s="14">
        <f t="shared" si="4"/>
        <v>12</v>
      </c>
      <c r="U8" s="10">
        <f t="shared" si="5"/>
        <v>68</v>
      </c>
    </row>
    <row r="9" s="1" customFormat="1" spans="1:21">
      <c r="A9" s="10" t="s">
        <v>248</v>
      </c>
      <c r="B9" s="11">
        <f t="shared" si="6"/>
        <v>75</v>
      </c>
      <c r="C9" s="11">
        <f t="shared" si="0"/>
        <v>20</v>
      </c>
      <c r="D9" s="11">
        <v>600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1"/>
        <v>75</v>
      </c>
      <c r="K9" s="15">
        <f>40+N9*10</f>
        <v>40</v>
      </c>
      <c r="L9" s="15">
        <f t="shared" ref="L9:L14" si="9">0+N9*5</f>
        <v>0</v>
      </c>
      <c r="M9" s="14">
        <v>200</v>
      </c>
      <c r="N9" s="15">
        <v>0</v>
      </c>
      <c r="O9" s="14">
        <v>0</v>
      </c>
      <c r="P9" s="14">
        <f t="shared" si="3"/>
        <v>25</v>
      </c>
      <c r="Q9" s="14">
        <v>100</v>
      </c>
      <c r="R9" s="14">
        <v>1</v>
      </c>
      <c r="S9" s="14">
        <v>0</v>
      </c>
      <c r="T9" s="14">
        <f t="shared" si="4"/>
        <v>5</v>
      </c>
      <c r="U9" s="10">
        <f t="shared" si="5"/>
        <v>120</v>
      </c>
    </row>
    <row r="10" s="1" customFormat="1" spans="1:21">
      <c r="A10" s="10" t="s">
        <v>249</v>
      </c>
      <c r="B10" s="11">
        <f t="shared" si="6"/>
        <v>75</v>
      </c>
      <c r="C10" s="11">
        <f t="shared" si="0"/>
        <v>20</v>
      </c>
      <c r="D10" s="11">
        <v>600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1"/>
        <v>70</v>
      </c>
      <c r="K10" s="15">
        <f>45+N10*10</f>
        <v>45</v>
      </c>
      <c r="L10" s="15">
        <f t="shared" si="2"/>
        <v>5</v>
      </c>
      <c r="M10" s="14">
        <v>250</v>
      </c>
      <c r="N10" s="15">
        <v>0</v>
      </c>
      <c r="O10" s="14">
        <v>0</v>
      </c>
      <c r="P10" s="14">
        <f t="shared" si="3"/>
        <v>30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5"/>
        <v>175</v>
      </c>
    </row>
    <row r="11" s="1" customFormat="1" spans="1:21">
      <c r="A11" s="10" t="s">
        <v>250</v>
      </c>
      <c r="B11" s="11">
        <f t="shared" si="6"/>
        <v>75</v>
      </c>
      <c r="C11" s="11">
        <f t="shared" si="7"/>
        <v>10</v>
      </c>
      <c r="D11" s="11">
        <v>600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1"/>
        <v>35</v>
      </c>
      <c r="K11" s="15">
        <f t="shared" si="8"/>
        <v>50</v>
      </c>
      <c r="L11" s="15">
        <f>40+N11*5</f>
        <v>40</v>
      </c>
      <c r="M11" s="14">
        <v>250</v>
      </c>
      <c r="N11" s="15">
        <v>0</v>
      </c>
      <c r="O11" s="14">
        <v>0</v>
      </c>
      <c r="P11" s="14">
        <f t="shared" si="3"/>
        <v>65</v>
      </c>
      <c r="Q11" s="14">
        <f>100+N11*5</f>
        <v>100</v>
      </c>
      <c r="R11" s="14">
        <v>1</v>
      </c>
      <c r="S11" s="14">
        <v>0</v>
      </c>
      <c r="T11" s="14">
        <f t="shared" ref="T11:T16" si="10">(K11-C11)*(P11/Q11)</f>
        <v>26</v>
      </c>
      <c r="U11" s="10">
        <f t="shared" si="5"/>
        <v>-68.5</v>
      </c>
    </row>
    <row r="12" s="1" customFormat="1" spans="1:21">
      <c r="A12" s="10" t="s">
        <v>251</v>
      </c>
      <c r="B12" s="11">
        <f t="shared" si="6"/>
        <v>75</v>
      </c>
      <c r="C12" s="11">
        <f t="shared" ref="C12:C19" si="11">20+E12*5</f>
        <v>20</v>
      </c>
      <c r="D12" s="11">
        <v>600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1"/>
        <v>60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3"/>
        <v>40</v>
      </c>
      <c r="Q12" s="14">
        <v>100</v>
      </c>
      <c r="R12" s="14">
        <v>1</v>
      </c>
      <c r="S12" s="14">
        <v>0</v>
      </c>
      <c r="T12" s="14">
        <f t="shared" si="10"/>
        <v>16</v>
      </c>
      <c r="U12" s="10">
        <f t="shared" si="5"/>
        <v>84</v>
      </c>
    </row>
    <row r="13" s="1" customFormat="1" spans="1:21">
      <c r="A13" s="10" t="s">
        <v>252</v>
      </c>
      <c r="B13" s="11">
        <f t="shared" si="6"/>
        <v>75</v>
      </c>
      <c r="C13" s="11">
        <f t="shared" si="7"/>
        <v>10</v>
      </c>
      <c r="D13" s="11">
        <v>600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1"/>
        <v>75</v>
      </c>
      <c r="K13" s="15">
        <f t="shared" si="8"/>
        <v>50</v>
      </c>
      <c r="L13" s="15">
        <f t="shared" si="9"/>
        <v>0</v>
      </c>
      <c r="M13" s="14">
        <v>300</v>
      </c>
      <c r="N13" s="15">
        <v>0</v>
      </c>
      <c r="O13" s="14">
        <v>0</v>
      </c>
      <c r="P13" s="14">
        <f t="shared" si="3"/>
        <v>25</v>
      </c>
      <c r="Q13" s="14">
        <v>100</v>
      </c>
      <c r="R13" s="14">
        <v>1</v>
      </c>
      <c r="S13" s="14">
        <v>0</v>
      </c>
      <c r="T13" s="14">
        <f t="shared" si="10"/>
        <v>10</v>
      </c>
      <c r="U13" s="10">
        <f t="shared" si="5"/>
        <v>165</v>
      </c>
    </row>
    <row r="14" s="1" customFormat="1" spans="1:21">
      <c r="A14" s="10" t="s">
        <v>253</v>
      </c>
      <c r="B14" s="11">
        <f t="shared" si="6"/>
        <v>75</v>
      </c>
      <c r="C14" s="11">
        <f t="shared" si="7"/>
        <v>10</v>
      </c>
      <c r="D14" s="11">
        <v>600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1"/>
        <v>75</v>
      </c>
      <c r="K14" s="15">
        <f>45+N14*5</f>
        <v>45</v>
      </c>
      <c r="L14" s="15">
        <f t="shared" si="9"/>
        <v>0</v>
      </c>
      <c r="M14" s="14">
        <v>400</v>
      </c>
      <c r="N14" s="15">
        <v>0</v>
      </c>
      <c r="O14" s="14">
        <v>0</v>
      </c>
      <c r="P14" s="14">
        <f t="shared" si="3"/>
        <v>25</v>
      </c>
      <c r="Q14" s="14">
        <v>100</v>
      </c>
      <c r="R14" s="14">
        <v>1</v>
      </c>
      <c r="S14" s="14">
        <v>0</v>
      </c>
      <c r="T14" s="14">
        <f t="shared" si="10"/>
        <v>8.75</v>
      </c>
      <c r="U14" s="10">
        <f t="shared" si="5"/>
        <v>247.5</v>
      </c>
    </row>
    <row r="15" s="1" customFormat="1" spans="1:21">
      <c r="A15" s="10" t="s">
        <v>254</v>
      </c>
      <c r="B15" s="11">
        <f t="shared" si="6"/>
        <v>75</v>
      </c>
      <c r="C15" s="11">
        <f t="shared" si="11"/>
        <v>20</v>
      </c>
      <c r="D15" s="11">
        <v>600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1"/>
        <v>65</v>
      </c>
      <c r="K15" s="15">
        <f>50+N15*5</f>
        <v>50</v>
      </c>
      <c r="L15" s="15">
        <f>10+N15*5</f>
        <v>10</v>
      </c>
      <c r="M15" s="14">
        <v>400</v>
      </c>
      <c r="N15" s="15">
        <v>0</v>
      </c>
      <c r="O15" s="14">
        <v>0</v>
      </c>
      <c r="P15" s="14">
        <f t="shared" si="3"/>
        <v>35</v>
      </c>
      <c r="Q15" s="14">
        <v>100</v>
      </c>
      <c r="R15" s="14">
        <v>1</v>
      </c>
      <c r="S15" s="14">
        <v>0</v>
      </c>
      <c r="T15" s="14">
        <f t="shared" si="10"/>
        <v>10.5</v>
      </c>
      <c r="U15" s="10">
        <f t="shared" si="5"/>
        <v>197</v>
      </c>
    </row>
    <row r="16" s="1" customFormat="1" spans="1:21">
      <c r="A16" s="10" t="s">
        <v>255</v>
      </c>
      <c r="B16" s="11">
        <f t="shared" si="6"/>
        <v>75</v>
      </c>
      <c r="C16" s="11">
        <f t="shared" ref="C16:C21" si="12">10+E16*5</f>
        <v>10</v>
      </c>
      <c r="D16" s="11">
        <v>600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1"/>
        <v>55</v>
      </c>
      <c r="K16" s="15">
        <f>55+N16*5</f>
        <v>55</v>
      </c>
      <c r="L16" s="15">
        <f t="shared" ref="L16:L18" si="13">20+N16*5</f>
        <v>20</v>
      </c>
      <c r="M16" s="14">
        <v>500</v>
      </c>
      <c r="N16" s="15">
        <v>0</v>
      </c>
      <c r="O16" s="14">
        <v>0</v>
      </c>
      <c r="P16" s="14">
        <f t="shared" si="3"/>
        <v>45</v>
      </c>
      <c r="Q16" s="14">
        <v>100</v>
      </c>
      <c r="R16" s="14">
        <v>1</v>
      </c>
      <c r="S16" s="14">
        <v>0</v>
      </c>
      <c r="T16" s="14">
        <f t="shared" si="10"/>
        <v>20.25</v>
      </c>
      <c r="U16" s="10">
        <f t="shared" si="5"/>
        <v>153.5</v>
      </c>
    </row>
    <row r="17" s="1" customFormat="1" spans="1:21">
      <c r="A17" s="10" t="s">
        <v>256</v>
      </c>
      <c r="B17" s="11">
        <f t="shared" si="6"/>
        <v>75</v>
      </c>
      <c r="C17" s="11">
        <f t="shared" si="11"/>
        <v>20</v>
      </c>
      <c r="D17" s="11">
        <v>600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1"/>
        <v>55</v>
      </c>
      <c r="K17" s="14">
        <f>70+N17*10</f>
        <v>70</v>
      </c>
      <c r="L17" s="14">
        <f t="shared" si="13"/>
        <v>20</v>
      </c>
      <c r="M17" s="14">
        <v>500</v>
      </c>
      <c r="N17" s="14">
        <v>0</v>
      </c>
      <c r="O17" s="14">
        <v>0</v>
      </c>
      <c r="P17" s="14">
        <f t="shared" si="3"/>
        <v>45</v>
      </c>
      <c r="Q17" s="14">
        <v>100</v>
      </c>
      <c r="R17" s="14">
        <v>1</v>
      </c>
      <c r="S17" s="14">
        <v>0</v>
      </c>
      <c r="T17" s="14">
        <f>(K17-C17)*1</f>
        <v>50</v>
      </c>
      <c r="U17" s="10">
        <f t="shared" si="5"/>
        <v>-25</v>
      </c>
    </row>
    <row r="18" s="1" customFormat="1" spans="1:21">
      <c r="A18" s="10" t="s">
        <v>257</v>
      </c>
      <c r="B18" s="11">
        <f t="shared" si="6"/>
        <v>75</v>
      </c>
      <c r="C18" s="11">
        <f t="shared" si="11"/>
        <v>20</v>
      </c>
      <c r="D18" s="11">
        <v>600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1"/>
        <v>55</v>
      </c>
      <c r="K18" s="14">
        <f>75+N18*10</f>
        <v>75</v>
      </c>
      <c r="L18" s="14">
        <f t="shared" si="13"/>
        <v>20</v>
      </c>
      <c r="M18" s="14">
        <v>600</v>
      </c>
      <c r="N18" s="15">
        <v>0</v>
      </c>
      <c r="O18" s="14">
        <v>0</v>
      </c>
      <c r="P18" s="14">
        <f t="shared" si="3"/>
        <v>45</v>
      </c>
      <c r="Q18" s="14">
        <v>100</v>
      </c>
      <c r="R18" s="14">
        <v>1</v>
      </c>
      <c r="S18" s="14">
        <v>0</v>
      </c>
      <c r="T18" s="14">
        <f t="shared" ref="T18:T21" si="14">(K18-C18)*(P18/Q18)</f>
        <v>24.75</v>
      </c>
      <c r="U18" s="10">
        <f t="shared" si="5"/>
        <v>181.5</v>
      </c>
    </row>
    <row r="19" s="1" customFormat="1" spans="1:21">
      <c r="A19" s="10" t="s">
        <v>258</v>
      </c>
      <c r="B19" s="11">
        <f t="shared" si="6"/>
        <v>75</v>
      </c>
      <c r="C19" s="11">
        <f t="shared" si="11"/>
        <v>20</v>
      </c>
      <c r="D19" s="11">
        <v>600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1"/>
        <v>45</v>
      </c>
      <c r="K19" s="14">
        <f>55+N19*5</f>
        <v>55</v>
      </c>
      <c r="L19" s="14">
        <f>30+N19*5</f>
        <v>30</v>
      </c>
      <c r="M19" s="14">
        <v>600</v>
      </c>
      <c r="N19" s="14">
        <v>0</v>
      </c>
      <c r="O19" s="14">
        <v>0</v>
      </c>
      <c r="P19" s="14">
        <f t="shared" si="3"/>
        <v>55</v>
      </c>
      <c r="Q19" s="14">
        <f>100+N19*25</f>
        <v>100</v>
      </c>
      <c r="R19" s="14">
        <v>1</v>
      </c>
      <c r="S19" s="14">
        <v>0</v>
      </c>
      <c r="T19" s="14">
        <f t="shared" si="14"/>
        <v>19.25</v>
      </c>
      <c r="U19" s="10">
        <f t="shared" si="5"/>
        <v>154.5</v>
      </c>
    </row>
    <row r="20" s="1" customFormat="1" spans="1:21">
      <c r="A20" s="10" t="s">
        <v>259</v>
      </c>
      <c r="B20" s="11">
        <f t="shared" si="6"/>
        <v>75</v>
      </c>
      <c r="C20" s="11">
        <f t="shared" si="12"/>
        <v>10</v>
      </c>
      <c r="D20" s="11">
        <v>600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1"/>
        <v>65</v>
      </c>
      <c r="K20" s="14">
        <f>55+N20*10</f>
        <v>55</v>
      </c>
      <c r="L20" s="14">
        <f>10+N20*5</f>
        <v>10</v>
      </c>
      <c r="M20" s="14">
        <v>600</v>
      </c>
      <c r="N20" s="15">
        <v>0</v>
      </c>
      <c r="O20" s="14">
        <v>0</v>
      </c>
      <c r="P20" s="14">
        <f t="shared" si="3"/>
        <v>35</v>
      </c>
      <c r="Q20" s="14">
        <f>100+N20*10</f>
        <v>100</v>
      </c>
      <c r="R20" s="14">
        <v>1</v>
      </c>
      <c r="S20" s="14">
        <v>0</v>
      </c>
      <c r="T20" s="14">
        <f t="shared" si="14"/>
        <v>15.75</v>
      </c>
      <c r="U20" s="10">
        <f t="shared" si="5"/>
        <v>295.5</v>
      </c>
    </row>
    <row r="21" s="1" customFormat="1" spans="1:21">
      <c r="A21" s="10" t="s">
        <v>260</v>
      </c>
      <c r="B21" s="11">
        <f t="shared" si="6"/>
        <v>75</v>
      </c>
      <c r="C21" s="11">
        <f t="shared" si="12"/>
        <v>10</v>
      </c>
      <c r="D21" s="11">
        <v>600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1"/>
        <v>75</v>
      </c>
      <c r="K21" s="14">
        <f>40+N21*5</f>
        <v>40</v>
      </c>
      <c r="L21" s="14">
        <f>0+N21*5</f>
        <v>0</v>
      </c>
      <c r="M21" s="14">
        <v>600</v>
      </c>
      <c r="N21" s="14">
        <v>0</v>
      </c>
      <c r="O21" s="14">
        <v>0</v>
      </c>
      <c r="P21" s="14">
        <f t="shared" si="3"/>
        <v>25</v>
      </c>
      <c r="Q21" s="14">
        <v>100</v>
      </c>
      <c r="R21" s="14">
        <v>1</v>
      </c>
      <c r="S21" s="14">
        <v>0</v>
      </c>
      <c r="T21" s="14">
        <f t="shared" si="14"/>
        <v>7.5</v>
      </c>
      <c r="U21" s="10">
        <f t="shared" si="5"/>
        <v>405</v>
      </c>
    </row>
    <row r="22" s="1" customFormat="1" spans="1:21">
      <c r="A22" s="10" t="s">
        <v>261</v>
      </c>
      <c r="B22" s="11">
        <f t="shared" si="6"/>
        <v>75</v>
      </c>
      <c r="C22" s="11">
        <f t="shared" ref="C22:C26" si="15">20+E22*5</f>
        <v>20</v>
      </c>
      <c r="D22" s="11">
        <v>600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1"/>
        <v>70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3"/>
        <v>30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5"/>
        <v>560</v>
      </c>
    </row>
    <row r="23" s="1" customFormat="1" spans="1:21">
      <c r="A23" s="10" t="s">
        <v>262</v>
      </c>
      <c r="B23" s="11">
        <f t="shared" si="6"/>
        <v>75</v>
      </c>
      <c r="C23" s="11">
        <f t="shared" si="15"/>
        <v>20</v>
      </c>
      <c r="D23" s="11">
        <v>600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1"/>
        <v>55</v>
      </c>
      <c r="K23" s="14">
        <f>60+N23*10</f>
        <v>60</v>
      </c>
      <c r="L23" s="14">
        <f>20+N23*5</f>
        <v>20</v>
      </c>
      <c r="M23" s="14">
        <v>800</v>
      </c>
      <c r="N23" s="14">
        <v>0</v>
      </c>
      <c r="O23" s="14">
        <v>0</v>
      </c>
      <c r="P23" s="14">
        <f t="shared" si="3"/>
        <v>45</v>
      </c>
      <c r="Q23" s="14">
        <v>100</v>
      </c>
      <c r="R23" s="14">
        <v>1</v>
      </c>
      <c r="S23" s="14">
        <v>0</v>
      </c>
      <c r="T23" s="14">
        <f t="shared" ref="T23:T26" si="16">(K23-C23)*(P23/Q23)</f>
        <v>18</v>
      </c>
      <c r="U23" s="10">
        <f t="shared" si="5"/>
        <v>332</v>
      </c>
    </row>
    <row r="24" s="1" customFormat="1" spans="1:21">
      <c r="A24" s="10" t="s">
        <v>263</v>
      </c>
      <c r="B24" s="11">
        <f t="shared" si="6"/>
        <v>75</v>
      </c>
      <c r="C24" s="11">
        <f>10+E24*5</f>
        <v>10</v>
      </c>
      <c r="D24" s="11">
        <v>600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1"/>
        <v>50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3"/>
        <v>50</v>
      </c>
      <c r="Q24" s="14">
        <v>100</v>
      </c>
      <c r="R24" s="14">
        <v>1</v>
      </c>
      <c r="S24" s="14">
        <v>0</v>
      </c>
      <c r="T24" s="14">
        <f>((K24-C24)*(P24/Q24))*1.5</f>
        <v>45</v>
      </c>
      <c r="U24" s="10">
        <f t="shared" si="5"/>
        <v>230</v>
      </c>
    </row>
    <row r="25" s="1" customFormat="1" spans="1:21">
      <c r="A25" s="10" t="s">
        <v>264</v>
      </c>
      <c r="B25" s="11">
        <f t="shared" si="6"/>
        <v>75</v>
      </c>
      <c r="C25" s="11">
        <f t="shared" si="15"/>
        <v>20</v>
      </c>
      <c r="D25" s="11">
        <v>600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1"/>
        <v>55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3"/>
        <v>45</v>
      </c>
      <c r="Q25" s="14">
        <v>100</v>
      </c>
      <c r="R25" s="14">
        <v>1</v>
      </c>
      <c r="S25" s="14">
        <v>0</v>
      </c>
      <c r="T25" s="14">
        <f t="shared" si="16"/>
        <v>18</v>
      </c>
      <c r="U25" s="10">
        <f t="shared" si="5"/>
        <v>222</v>
      </c>
    </row>
    <row r="26" s="1" customFormat="1" spans="1:21">
      <c r="A26" s="10" t="s">
        <v>265</v>
      </c>
      <c r="B26" s="11">
        <f t="shared" si="6"/>
        <v>75</v>
      </c>
      <c r="C26" s="11">
        <f t="shared" si="15"/>
        <v>20</v>
      </c>
      <c r="D26" s="11">
        <v>600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1"/>
        <v>70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3"/>
        <v>30</v>
      </c>
      <c r="Q26" s="14">
        <v>100</v>
      </c>
      <c r="R26" s="14">
        <v>1</v>
      </c>
      <c r="S26" s="14">
        <v>0</v>
      </c>
      <c r="T26" s="14">
        <f t="shared" si="16"/>
        <v>6</v>
      </c>
      <c r="U26" s="10">
        <f t="shared" si="5"/>
        <v>69</v>
      </c>
    </row>
  </sheetData>
  <mergeCells count="14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A5:A6"/>
    <mergeCell ref="U5:U6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zoomScale="90" zoomScaleNormal="90" workbookViewId="0">
      <selection activeCell="L7" sqref="L7:L26"/>
    </sheetView>
  </sheetViews>
  <sheetFormatPr defaultColWidth="14" defaultRowHeight="15"/>
  <cols>
    <col min="1" max="1" width="18.1090909090909" style="1" customWidth="1"/>
    <col min="2" max="3" width="8.33636363636364" style="1" customWidth="1"/>
    <col min="4" max="7" width="6.10909090909091" style="1" customWidth="1"/>
    <col min="8" max="8" width="8.33636363636364" style="1" customWidth="1"/>
    <col min="9" max="9" width="18.1090909090909" style="1" customWidth="1"/>
    <col min="10" max="10" width="10.6636363636364" style="1" customWidth="1"/>
    <col min="11" max="12" width="8.33636363636364" style="1" customWidth="1"/>
    <col min="13" max="16" width="6.10909090909091" style="1" customWidth="1"/>
    <col min="17" max="17" width="8.33636363636364" style="1" customWidth="1"/>
    <col min="18" max="18" width="10.6636363636364" style="1" customWidth="1"/>
    <col min="19" max="19" width="18.1090909090909" style="1" customWidth="1"/>
    <col min="20" max="21" width="10.6636363636364" style="1" customWidth="1"/>
    <col min="22" max="22" width="38.1090909090909" style="1" customWidth="1"/>
    <col min="23" max="23" width="15.6636363636364" style="1" customWidth="1"/>
    <col min="24" max="16384" width="14" style="1"/>
  </cols>
  <sheetData>
    <row r="1" s="1" customForma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="1" customFormat="1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" customFormat="1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T4" s="16" t="s">
        <v>6</v>
      </c>
      <c r="U4" s="17"/>
    </row>
    <row r="5" s="1" customFormat="1" spans="1:21">
      <c r="A5" s="7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="1" customFormat="1" spans="1:21">
      <c r="A6" s="9"/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="1" customFormat="1" spans="1:21">
      <c r="A7" s="10" t="s">
        <v>266</v>
      </c>
      <c r="B7" s="11">
        <f t="shared" ref="B7:B26" si="0">55+E7*5</f>
        <v>55</v>
      </c>
      <c r="C7" s="11">
        <f t="shared" ref="C7:C10" si="1">30+E7*5</f>
        <v>30</v>
      </c>
      <c r="D7" s="11">
        <v>600</v>
      </c>
      <c r="E7" s="11">
        <v>0</v>
      </c>
      <c r="F7" s="8">
        <v>0</v>
      </c>
      <c r="G7" s="8">
        <v>100</v>
      </c>
      <c r="H7" s="8">
        <f>100+E7*25</f>
        <v>100</v>
      </c>
      <c r="I7" s="8">
        <v>0</v>
      </c>
      <c r="J7" s="8">
        <f t="shared" ref="J7:J26" si="2">(B7-L7)*(G7/H7)</f>
        <v>50</v>
      </c>
      <c r="K7" s="15">
        <f>55+N7*10</f>
        <v>55</v>
      </c>
      <c r="L7" s="15">
        <f t="shared" ref="L7:L10" si="3">5+N7*5</f>
        <v>5</v>
      </c>
      <c r="M7" s="15">
        <v>150</v>
      </c>
      <c r="N7" s="15">
        <v>0</v>
      </c>
      <c r="O7" s="14">
        <v>0</v>
      </c>
      <c r="P7" s="14">
        <f t="shared" ref="P7:P26" si="4">Q7-J7</f>
        <v>50</v>
      </c>
      <c r="Q7" s="14">
        <v>100</v>
      </c>
      <c r="R7" s="14">
        <v>1</v>
      </c>
      <c r="S7" s="14">
        <v>0</v>
      </c>
      <c r="T7" s="14">
        <f t="shared" ref="T7:T9" si="5">(K7-C7)*(P7/Q7)</f>
        <v>12.5</v>
      </c>
      <c r="U7" s="10">
        <f t="shared" ref="U7:U26" si="6">(M7*(N7/3+1)*(J7*R7+S7)-(D7*(E7/3+1))*(T7+I7))/100</f>
        <v>0</v>
      </c>
    </row>
    <row r="8" s="1" customFormat="1" spans="1:21">
      <c r="A8" s="10" t="s">
        <v>267</v>
      </c>
      <c r="B8" s="11">
        <f t="shared" si="0"/>
        <v>55</v>
      </c>
      <c r="C8" s="11">
        <f t="shared" ref="C8:C14" si="7">10+E8*5</f>
        <v>10</v>
      </c>
      <c r="D8" s="11">
        <v>600</v>
      </c>
      <c r="E8" s="11">
        <v>0</v>
      </c>
      <c r="F8" s="8">
        <v>0</v>
      </c>
      <c r="G8" s="8">
        <v>100</v>
      </c>
      <c r="H8" s="8">
        <f t="shared" ref="H8:H26" si="8">100+E8*25</f>
        <v>100</v>
      </c>
      <c r="I8" s="8">
        <v>0</v>
      </c>
      <c r="J8" s="8">
        <f t="shared" si="2"/>
        <v>50</v>
      </c>
      <c r="K8" s="15">
        <f t="shared" ref="K8:K13" si="9">50+N8*10</f>
        <v>50</v>
      </c>
      <c r="L8" s="15">
        <f t="shared" si="3"/>
        <v>5</v>
      </c>
      <c r="M8" s="14">
        <v>200</v>
      </c>
      <c r="N8" s="15">
        <v>0</v>
      </c>
      <c r="O8" s="14">
        <v>0</v>
      </c>
      <c r="P8" s="14">
        <f t="shared" si="4"/>
        <v>50</v>
      </c>
      <c r="Q8" s="14">
        <v>100</v>
      </c>
      <c r="R8" s="14">
        <v>1</v>
      </c>
      <c r="S8" s="14">
        <v>0</v>
      </c>
      <c r="T8" s="14">
        <f t="shared" si="5"/>
        <v>20</v>
      </c>
      <c r="U8" s="10">
        <f t="shared" si="6"/>
        <v>-20</v>
      </c>
    </row>
    <row r="9" s="1" customFormat="1" spans="1:21">
      <c r="A9" s="10" t="s">
        <v>268</v>
      </c>
      <c r="B9" s="11">
        <f t="shared" si="0"/>
        <v>55</v>
      </c>
      <c r="C9" s="11">
        <f t="shared" si="1"/>
        <v>30</v>
      </c>
      <c r="D9" s="11">
        <v>600</v>
      </c>
      <c r="E9" s="11">
        <v>0</v>
      </c>
      <c r="F9" s="8">
        <v>0</v>
      </c>
      <c r="G9" s="8">
        <v>100</v>
      </c>
      <c r="H9" s="8">
        <f t="shared" si="8"/>
        <v>100</v>
      </c>
      <c r="I9" s="8">
        <v>0</v>
      </c>
      <c r="J9" s="8">
        <f t="shared" si="2"/>
        <v>55</v>
      </c>
      <c r="K9" s="15">
        <f>40+N9*10</f>
        <v>40</v>
      </c>
      <c r="L9" s="15">
        <f t="shared" ref="L9:L14" si="10">0+N9*5</f>
        <v>0</v>
      </c>
      <c r="M9" s="14">
        <v>200</v>
      </c>
      <c r="N9" s="15">
        <v>0</v>
      </c>
      <c r="O9" s="14">
        <v>0</v>
      </c>
      <c r="P9" s="14">
        <f t="shared" si="4"/>
        <v>45</v>
      </c>
      <c r="Q9" s="14">
        <v>100</v>
      </c>
      <c r="R9" s="14">
        <v>1</v>
      </c>
      <c r="S9" s="14">
        <v>0</v>
      </c>
      <c r="T9" s="14">
        <f t="shared" si="5"/>
        <v>4.5</v>
      </c>
      <c r="U9" s="10">
        <f t="shared" si="6"/>
        <v>83</v>
      </c>
    </row>
    <row r="10" s="1" customFormat="1" spans="1:21">
      <c r="A10" s="10" t="s">
        <v>269</v>
      </c>
      <c r="B10" s="11">
        <f t="shared" si="0"/>
        <v>55</v>
      </c>
      <c r="C10" s="11">
        <f t="shared" si="1"/>
        <v>30</v>
      </c>
      <c r="D10" s="11">
        <v>600</v>
      </c>
      <c r="E10" s="11">
        <v>0</v>
      </c>
      <c r="F10" s="8">
        <v>0</v>
      </c>
      <c r="G10" s="8">
        <v>100</v>
      </c>
      <c r="H10" s="8">
        <f t="shared" si="8"/>
        <v>100</v>
      </c>
      <c r="I10" s="8">
        <v>0</v>
      </c>
      <c r="J10" s="8">
        <f t="shared" si="2"/>
        <v>50</v>
      </c>
      <c r="K10" s="15">
        <f>45+N10*10</f>
        <v>45</v>
      </c>
      <c r="L10" s="15">
        <f t="shared" si="3"/>
        <v>5</v>
      </c>
      <c r="M10" s="14">
        <v>250</v>
      </c>
      <c r="N10" s="15">
        <v>0</v>
      </c>
      <c r="O10" s="14">
        <v>0</v>
      </c>
      <c r="P10" s="14">
        <f t="shared" si="4"/>
        <v>50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6"/>
        <v>125</v>
      </c>
    </row>
    <row r="11" s="1" customFormat="1" spans="1:21">
      <c r="A11" s="10" t="s">
        <v>270</v>
      </c>
      <c r="B11" s="11">
        <f t="shared" si="0"/>
        <v>55</v>
      </c>
      <c r="C11" s="11">
        <f t="shared" si="7"/>
        <v>10</v>
      </c>
      <c r="D11" s="11">
        <v>600</v>
      </c>
      <c r="E11" s="11">
        <v>0</v>
      </c>
      <c r="F11" s="8">
        <v>0</v>
      </c>
      <c r="G11" s="8">
        <v>100</v>
      </c>
      <c r="H11" s="8">
        <f t="shared" si="8"/>
        <v>100</v>
      </c>
      <c r="I11" s="8">
        <v>0</v>
      </c>
      <c r="J11" s="8">
        <f t="shared" si="2"/>
        <v>15</v>
      </c>
      <c r="K11" s="15">
        <f t="shared" si="9"/>
        <v>50</v>
      </c>
      <c r="L11" s="15">
        <f>40+N11*5</f>
        <v>40</v>
      </c>
      <c r="M11" s="14">
        <v>250</v>
      </c>
      <c r="N11" s="15">
        <v>0</v>
      </c>
      <c r="O11" s="14">
        <v>0</v>
      </c>
      <c r="P11" s="14">
        <f t="shared" si="4"/>
        <v>85</v>
      </c>
      <c r="Q11" s="14">
        <f>100+N11*5</f>
        <v>100</v>
      </c>
      <c r="R11" s="14">
        <v>1</v>
      </c>
      <c r="S11" s="14">
        <v>0</v>
      </c>
      <c r="T11" s="14">
        <f t="shared" ref="T11:T16" si="11">(K11-C11)*(P11/Q11)</f>
        <v>34</v>
      </c>
      <c r="U11" s="10">
        <f t="shared" si="6"/>
        <v>-166.5</v>
      </c>
    </row>
    <row r="12" s="1" customFormat="1" spans="1:21">
      <c r="A12" s="10" t="s">
        <v>271</v>
      </c>
      <c r="B12" s="11">
        <f t="shared" si="0"/>
        <v>55</v>
      </c>
      <c r="C12" s="11">
        <f t="shared" ref="C12:C19" si="12">30+E12*5</f>
        <v>30</v>
      </c>
      <c r="D12" s="11">
        <v>600</v>
      </c>
      <c r="E12" s="11">
        <v>0</v>
      </c>
      <c r="F12" s="8">
        <v>0</v>
      </c>
      <c r="G12" s="8">
        <v>100</v>
      </c>
      <c r="H12" s="8">
        <f t="shared" si="8"/>
        <v>100</v>
      </c>
      <c r="I12" s="8">
        <v>0</v>
      </c>
      <c r="J12" s="8">
        <f t="shared" si="2"/>
        <v>40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4"/>
        <v>60</v>
      </c>
      <c r="Q12" s="14">
        <v>100</v>
      </c>
      <c r="R12" s="14">
        <v>1</v>
      </c>
      <c r="S12" s="14">
        <v>0</v>
      </c>
      <c r="T12" s="14">
        <f t="shared" si="11"/>
        <v>18</v>
      </c>
      <c r="U12" s="10">
        <f t="shared" si="6"/>
        <v>12</v>
      </c>
    </row>
    <row r="13" s="1" customFormat="1" spans="1:21">
      <c r="A13" s="10" t="s">
        <v>272</v>
      </c>
      <c r="B13" s="11">
        <f t="shared" si="0"/>
        <v>55</v>
      </c>
      <c r="C13" s="11">
        <f t="shared" si="7"/>
        <v>10</v>
      </c>
      <c r="D13" s="11">
        <v>600</v>
      </c>
      <c r="E13" s="11">
        <v>0</v>
      </c>
      <c r="F13" s="8">
        <v>0</v>
      </c>
      <c r="G13" s="8">
        <v>100</v>
      </c>
      <c r="H13" s="8">
        <f t="shared" si="8"/>
        <v>100</v>
      </c>
      <c r="I13" s="8">
        <v>0</v>
      </c>
      <c r="J13" s="8">
        <f t="shared" si="2"/>
        <v>55</v>
      </c>
      <c r="K13" s="15">
        <f t="shared" si="9"/>
        <v>50</v>
      </c>
      <c r="L13" s="15">
        <f t="shared" si="10"/>
        <v>0</v>
      </c>
      <c r="M13" s="14">
        <v>300</v>
      </c>
      <c r="N13" s="15">
        <v>0</v>
      </c>
      <c r="O13" s="14">
        <v>0</v>
      </c>
      <c r="P13" s="14">
        <f t="shared" si="4"/>
        <v>45</v>
      </c>
      <c r="Q13" s="14">
        <v>100</v>
      </c>
      <c r="R13" s="14">
        <v>1</v>
      </c>
      <c r="S13" s="14">
        <v>0</v>
      </c>
      <c r="T13" s="14">
        <f t="shared" si="11"/>
        <v>18</v>
      </c>
      <c r="U13" s="10">
        <f t="shared" si="6"/>
        <v>57</v>
      </c>
    </row>
    <row r="14" s="1" customFormat="1" spans="1:21">
      <c r="A14" s="10" t="s">
        <v>273</v>
      </c>
      <c r="B14" s="11">
        <f t="shared" si="0"/>
        <v>55</v>
      </c>
      <c r="C14" s="11">
        <f t="shared" si="7"/>
        <v>10</v>
      </c>
      <c r="D14" s="11">
        <v>600</v>
      </c>
      <c r="E14" s="11">
        <v>0</v>
      </c>
      <c r="F14" s="8">
        <v>0</v>
      </c>
      <c r="G14" s="8">
        <v>100</v>
      </c>
      <c r="H14" s="8">
        <f t="shared" si="8"/>
        <v>100</v>
      </c>
      <c r="I14" s="8">
        <v>0</v>
      </c>
      <c r="J14" s="8">
        <f t="shared" si="2"/>
        <v>55</v>
      </c>
      <c r="K14" s="15">
        <f>45+N14*5</f>
        <v>45</v>
      </c>
      <c r="L14" s="15">
        <f t="shared" si="10"/>
        <v>0</v>
      </c>
      <c r="M14" s="14">
        <v>400</v>
      </c>
      <c r="N14" s="15">
        <v>0</v>
      </c>
      <c r="O14" s="14">
        <v>0</v>
      </c>
      <c r="P14" s="14">
        <f t="shared" si="4"/>
        <v>45</v>
      </c>
      <c r="Q14" s="14">
        <v>100</v>
      </c>
      <c r="R14" s="14">
        <v>1</v>
      </c>
      <c r="S14" s="14">
        <v>0</v>
      </c>
      <c r="T14" s="14">
        <f t="shared" si="11"/>
        <v>15.75</v>
      </c>
      <c r="U14" s="10">
        <f t="shared" si="6"/>
        <v>125.5</v>
      </c>
    </row>
    <row r="15" s="1" customFormat="1" spans="1:21">
      <c r="A15" s="10" t="s">
        <v>274</v>
      </c>
      <c r="B15" s="11">
        <f t="shared" si="0"/>
        <v>55</v>
      </c>
      <c r="C15" s="11">
        <f t="shared" si="12"/>
        <v>30</v>
      </c>
      <c r="D15" s="11">
        <v>600</v>
      </c>
      <c r="E15" s="11">
        <v>0</v>
      </c>
      <c r="F15" s="8">
        <v>0</v>
      </c>
      <c r="G15" s="8">
        <v>100</v>
      </c>
      <c r="H15" s="8">
        <f t="shared" si="8"/>
        <v>100</v>
      </c>
      <c r="I15" s="8">
        <v>0</v>
      </c>
      <c r="J15" s="8">
        <f t="shared" si="2"/>
        <v>45</v>
      </c>
      <c r="K15" s="15">
        <f>50+N15*5</f>
        <v>50</v>
      </c>
      <c r="L15" s="15">
        <f>10+N15*5</f>
        <v>10</v>
      </c>
      <c r="M15" s="14">
        <v>400</v>
      </c>
      <c r="N15" s="15">
        <v>0</v>
      </c>
      <c r="O15" s="14">
        <v>0</v>
      </c>
      <c r="P15" s="14">
        <f t="shared" si="4"/>
        <v>55</v>
      </c>
      <c r="Q15" s="14">
        <v>100</v>
      </c>
      <c r="R15" s="14">
        <v>1</v>
      </c>
      <c r="S15" s="14">
        <v>0</v>
      </c>
      <c r="T15" s="14">
        <f t="shared" si="11"/>
        <v>11</v>
      </c>
      <c r="U15" s="10">
        <f t="shared" si="6"/>
        <v>114</v>
      </c>
    </row>
    <row r="16" s="1" customFormat="1" spans="1:21">
      <c r="A16" s="10" t="s">
        <v>275</v>
      </c>
      <c r="B16" s="11">
        <f t="shared" si="0"/>
        <v>55</v>
      </c>
      <c r="C16" s="11">
        <f t="shared" ref="C16:C21" si="13">10+E16*5</f>
        <v>10</v>
      </c>
      <c r="D16" s="11">
        <v>600</v>
      </c>
      <c r="E16" s="11">
        <v>0</v>
      </c>
      <c r="F16" s="8">
        <v>0</v>
      </c>
      <c r="G16" s="8">
        <v>100</v>
      </c>
      <c r="H16" s="8">
        <f t="shared" si="8"/>
        <v>100</v>
      </c>
      <c r="I16" s="8">
        <v>0</v>
      </c>
      <c r="J16" s="8">
        <f t="shared" si="2"/>
        <v>35</v>
      </c>
      <c r="K16" s="15">
        <f>55+N16*5</f>
        <v>55</v>
      </c>
      <c r="L16" s="15">
        <f t="shared" ref="L16:L18" si="14">20+N16*5</f>
        <v>20</v>
      </c>
      <c r="M16" s="14">
        <v>500</v>
      </c>
      <c r="N16" s="15">
        <v>0</v>
      </c>
      <c r="O16" s="14">
        <v>0</v>
      </c>
      <c r="P16" s="14">
        <f t="shared" si="4"/>
        <v>65</v>
      </c>
      <c r="Q16" s="14">
        <v>100</v>
      </c>
      <c r="R16" s="14">
        <v>1</v>
      </c>
      <c r="S16" s="14">
        <v>0</v>
      </c>
      <c r="T16" s="14">
        <f t="shared" si="11"/>
        <v>29.25</v>
      </c>
      <c r="U16" s="10">
        <f t="shared" si="6"/>
        <v>-0.5</v>
      </c>
    </row>
    <row r="17" s="1" customFormat="1" spans="1:21">
      <c r="A17" s="10" t="s">
        <v>276</v>
      </c>
      <c r="B17" s="11">
        <f t="shared" si="0"/>
        <v>55</v>
      </c>
      <c r="C17" s="11">
        <f t="shared" si="12"/>
        <v>30</v>
      </c>
      <c r="D17" s="11">
        <v>600</v>
      </c>
      <c r="E17" s="11">
        <v>0</v>
      </c>
      <c r="F17" s="8">
        <v>0</v>
      </c>
      <c r="G17" s="8">
        <v>100</v>
      </c>
      <c r="H17" s="8">
        <f t="shared" si="8"/>
        <v>100</v>
      </c>
      <c r="I17" s="8">
        <v>0</v>
      </c>
      <c r="J17" s="8">
        <f t="shared" si="2"/>
        <v>35</v>
      </c>
      <c r="K17" s="14">
        <f>70+N17*10</f>
        <v>70</v>
      </c>
      <c r="L17" s="14">
        <f t="shared" si="14"/>
        <v>20</v>
      </c>
      <c r="M17" s="14">
        <v>500</v>
      </c>
      <c r="N17" s="14">
        <v>0</v>
      </c>
      <c r="O17" s="14">
        <v>0</v>
      </c>
      <c r="P17" s="14">
        <f t="shared" si="4"/>
        <v>65</v>
      </c>
      <c r="Q17" s="14">
        <v>100</v>
      </c>
      <c r="R17" s="14">
        <v>1</v>
      </c>
      <c r="S17" s="14">
        <v>0</v>
      </c>
      <c r="T17" s="14">
        <f>(K17-C17)*1</f>
        <v>40</v>
      </c>
      <c r="U17" s="10">
        <f t="shared" si="6"/>
        <v>-65</v>
      </c>
    </row>
    <row r="18" s="1" customFormat="1" spans="1:21">
      <c r="A18" s="10" t="s">
        <v>277</v>
      </c>
      <c r="B18" s="11">
        <f t="shared" si="0"/>
        <v>55</v>
      </c>
      <c r="C18" s="11">
        <f t="shared" si="12"/>
        <v>30</v>
      </c>
      <c r="D18" s="11">
        <v>600</v>
      </c>
      <c r="E18" s="11">
        <v>0</v>
      </c>
      <c r="F18" s="8">
        <v>0</v>
      </c>
      <c r="G18" s="8">
        <v>100</v>
      </c>
      <c r="H18" s="8">
        <f t="shared" si="8"/>
        <v>100</v>
      </c>
      <c r="I18" s="8">
        <v>0</v>
      </c>
      <c r="J18" s="8">
        <f t="shared" si="2"/>
        <v>35</v>
      </c>
      <c r="K18" s="14">
        <f>75+N18*10</f>
        <v>75</v>
      </c>
      <c r="L18" s="14">
        <f t="shared" si="14"/>
        <v>20</v>
      </c>
      <c r="M18" s="14">
        <v>600</v>
      </c>
      <c r="N18" s="15">
        <v>0</v>
      </c>
      <c r="O18" s="14">
        <v>0</v>
      </c>
      <c r="P18" s="14">
        <f t="shared" si="4"/>
        <v>65</v>
      </c>
      <c r="Q18" s="14">
        <v>100</v>
      </c>
      <c r="R18" s="14">
        <v>1</v>
      </c>
      <c r="S18" s="14">
        <v>0</v>
      </c>
      <c r="T18" s="14">
        <f t="shared" ref="T18:T21" si="15">(K18-C18)*(P18/Q18)</f>
        <v>29.25</v>
      </c>
      <c r="U18" s="10">
        <f t="shared" si="6"/>
        <v>34.5</v>
      </c>
    </row>
    <row r="19" s="1" customFormat="1" spans="1:21">
      <c r="A19" s="10" t="s">
        <v>278</v>
      </c>
      <c r="B19" s="11">
        <f t="shared" si="0"/>
        <v>55</v>
      </c>
      <c r="C19" s="11">
        <f t="shared" si="12"/>
        <v>30</v>
      </c>
      <c r="D19" s="11">
        <v>600</v>
      </c>
      <c r="E19" s="11">
        <v>0</v>
      </c>
      <c r="F19" s="8">
        <v>0</v>
      </c>
      <c r="G19" s="8">
        <v>100</v>
      </c>
      <c r="H19" s="8">
        <f t="shared" si="8"/>
        <v>100</v>
      </c>
      <c r="I19" s="8">
        <v>0</v>
      </c>
      <c r="J19" s="8">
        <f t="shared" si="2"/>
        <v>25</v>
      </c>
      <c r="K19" s="14">
        <f>55+N19*5</f>
        <v>55</v>
      </c>
      <c r="L19" s="14">
        <f>30+N19*5</f>
        <v>30</v>
      </c>
      <c r="M19" s="14">
        <v>600</v>
      </c>
      <c r="N19" s="14">
        <v>0</v>
      </c>
      <c r="O19" s="14">
        <v>0</v>
      </c>
      <c r="P19" s="14">
        <f t="shared" si="4"/>
        <v>75</v>
      </c>
      <c r="Q19" s="14">
        <f>100+N19*25</f>
        <v>100</v>
      </c>
      <c r="R19" s="14">
        <v>1</v>
      </c>
      <c r="S19" s="14">
        <v>0</v>
      </c>
      <c r="T19" s="14">
        <f t="shared" si="15"/>
        <v>18.75</v>
      </c>
      <c r="U19" s="10">
        <f t="shared" si="6"/>
        <v>37.5</v>
      </c>
    </row>
    <row r="20" s="1" customFormat="1" spans="1:21">
      <c r="A20" s="10" t="s">
        <v>279</v>
      </c>
      <c r="B20" s="11">
        <f t="shared" si="0"/>
        <v>55</v>
      </c>
      <c r="C20" s="11">
        <f t="shared" si="13"/>
        <v>10</v>
      </c>
      <c r="D20" s="11">
        <v>600</v>
      </c>
      <c r="E20" s="11">
        <v>0</v>
      </c>
      <c r="F20" s="8">
        <v>0</v>
      </c>
      <c r="G20" s="8">
        <v>100</v>
      </c>
      <c r="H20" s="8">
        <f t="shared" si="8"/>
        <v>100</v>
      </c>
      <c r="I20" s="8">
        <v>0</v>
      </c>
      <c r="J20" s="8">
        <f t="shared" si="2"/>
        <v>45</v>
      </c>
      <c r="K20" s="14">
        <f>55+N20*10</f>
        <v>55</v>
      </c>
      <c r="L20" s="14">
        <f>10+N20*5</f>
        <v>10</v>
      </c>
      <c r="M20" s="14">
        <v>600</v>
      </c>
      <c r="N20" s="15">
        <v>0</v>
      </c>
      <c r="O20" s="14">
        <v>0</v>
      </c>
      <c r="P20" s="14">
        <f t="shared" si="4"/>
        <v>55</v>
      </c>
      <c r="Q20" s="14">
        <f>100+N20*10</f>
        <v>100</v>
      </c>
      <c r="R20" s="14">
        <v>1</v>
      </c>
      <c r="S20" s="14">
        <v>0</v>
      </c>
      <c r="T20" s="14">
        <f t="shared" si="15"/>
        <v>24.75</v>
      </c>
      <c r="U20" s="10">
        <f t="shared" si="6"/>
        <v>121.5</v>
      </c>
    </row>
    <row r="21" s="1" customFormat="1" spans="1:21">
      <c r="A21" s="10" t="s">
        <v>280</v>
      </c>
      <c r="B21" s="11">
        <f t="shared" si="0"/>
        <v>55</v>
      </c>
      <c r="C21" s="11">
        <f t="shared" si="13"/>
        <v>10</v>
      </c>
      <c r="D21" s="11">
        <v>600</v>
      </c>
      <c r="E21" s="11">
        <v>0</v>
      </c>
      <c r="F21" s="8">
        <v>0</v>
      </c>
      <c r="G21" s="8">
        <v>100</v>
      </c>
      <c r="H21" s="8">
        <f t="shared" si="8"/>
        <v>100</v>
      </c>
      <c r="I21" s="8">
        <v>0</v>
      </c>
      <c r="J21" s="8">
        <f t="shared" si="2"/>
        <v>55</v>
      </c>
      <c r="K21" s="14">
        <f>40+N21*5</f>
        <v>40</v>
      </c>
      <c r="L21" s="14">
        <f>0+N21*5</f>
        <v>0</v>
      </c>
      <c r="M21" s="14">
        <v>600</v>
      </c>
      <c r="N21" s="14">
        <v>0</v>
      </c>
      <c r="O21" s="14">
        <v>0</v>
      </c>
      <c r="P21" s="14">
        <f t="shared" si="4"/>
        <v>45</v>
      </c>
      <c r="Q21" s="14">
        <v>100</v>
      </c>
      <c r="R21" s="14">
        <v>1</v>
      </c>
      <c r="S21" s="14">
        <v>0</v>
      </c>
      <c r="T21" s="14">
        <f t="shared" si="15"/>
        <v>13.5</v>
      </c>
      <c r="U21" s="10">
        <f t="shared" si="6"/>
        <v>249</v>
      </c>
    </row>
    <row r="22" s="1" customFormat="1" spans="1:21">
      <c r="A22" s="10" t="s">
        <v>281</v>
      </c>
      <c r="B22" s="11">
        <f t="shared" si="0"/>
        <v>55</v>
      </c>
      <c r="C22" s="11">
        <f t="shared" ref="C22:C26" si="16">30+E22*5</f>
        <v>30</v>
      </c>
      <c r="D22" s="11">
        <v>600</v>
      </c>
      <c r="E22" s="11">
        <v>0</v>
      </c>
      <c r="F22" s="8">
        <v>0</v>
      </c>
      <c r="G22" s="8">
        <v>100</v>
      </c>
      <c r="H22" s="8">
        <f t="shared" si="8"/>
        <v>100</v>
      </c>
      <c r="I22" s="8">
        <v>0</v>
      </c>
      <c r="J22" s="8">
        <f t="shared" si="2"/>
        <v>50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4"/>
        <v>50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6"/>
        <v>400</v>
      </c>
    </row>
    <row r="23" s="1" customFormat="1" spans="1:21">
      <c r="A23" s="10" t="s">
        <v>282</v>
      </c>
      <c r="B23" s="11">
        <f t="shared" si="0"/>
        <v>55</v>
      </c>
      <c r="C23" s="11">
        <f t="shared" si="16"/>
        <v>30</v>
      </c>
      <c r="D23" s="11">
        <v>600</v>
      </c>
      <c r="E23" s="11">
        <v>0</v>
      </c>
      <c r="F23" s="8">
        <v>0</v>
      </c>
      <c r="G23" s="8">
        <v>100</v>
      </c>
      <c r="H23" s="8">
        <f t="shared" si="8"/>
        <v>100</v>
      </c>
      <c r="I23" s="8">
        <v>0</v>
      </c>
      <c r="J23" s="8">
        <f t="shared" si="2"/>
        <v>35</v>
      </c>
      <c r="K23" s="14">
        <f>60+N23*10</f>
        <v>60</v>
      </c>
      <c r="L23" s="14">
        <f>20+N23*5</f>
        <v>20</v>
      </c>
      <c r="M23" s="14">
        <v>800</v>
      </c>
      <c r="N23" s="14">
        <v>0</v>
      </c>
      <c r="O23" s="14">
        <v>0</v>
      </c>
      <c r="P23" s="14">
        <f t="shared" si="4"/>
        <v>65</v>
      </c>
      <c r="Q23" s="14">
        <v>100</v>
      </c>
      <c r="R23" s="14">
        <v>1</v>
      </c>
      <c r="S23" s="14">
        <v>0</v>
      </c>
      <c r="T23" s="14">
        <f t="shared" ref="T23:T26" si="17">(K23-C23)*(P23/Q23)</f>
        <v>19.5</v>
      </c>
      <c r="U23" s="10">
        <f t="shared" si="6"/>
        <v>163</v>
      </c>
    </row>
    <row r="24" s="1" customFormat="1" spans="1:21">
      <c r="A24" s="10" t="s">
        <v>283</v>
      </c>
      <c r="B24" s="11">
        <f t="shared" si="0"/>
        <v>55</v>
      </c>
      <c r="C24" s="11">
        <f>10+E24*5</f>
        <v>10</v>
      </c>
      <c r="D24" s="11">
        <v>600</v>
      </c>
      <c r="E24" s="11">
        <v>0</v>
      </c>
      <c r="F24" s="8">
        <v>0</v>
      </c>
      <c r="G24" s="8">
        <v>100</v>
      </c>
      <c r="H24" s="8">
        <f t="shared" si="8"/>
        <v>100</v>
      </c>
      <c r="I24" s="8">
        <v>0</v>
      </c>
      <c r="J24" s="8">
        <f t="shared" si="2"/>
        <v>30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4"/>
        <v>70</v>
      </c>
      <c r="Q24" s="14">
        <v>100</v>
      </c>
      <c r="R24" s="14">
        <v>1</v>
      </c>
      <c r="S24" s="14">
        <v>0</v>
      </c>
      <c r="T24" s="14">
        <f>((K24-C24)*(P24/Q24))*1.5</f>
        <v>63</v>
      </c>
      <c r="U24" s="10">
        <f t="shared" si="6"/>
        <v>-78</v>
      </c>
    </row>
    <row r="25" s="1" customFormat="1" spans="1:21">
      <c r="A25" s="10" t="s">
        <v>284</v>
      </c>
      <c r="B25" s="11">
        <f t="shared" si="0"/>
        <v>55</v>
      </c>
      <c r="C25" s="11">
        <f t="shared" si="16"/>
        <v>30</v>
      </c>
      <c r="D25" s="11">
        <v>600</v>
      </c>
      <c r="E25" s="11">
        <v>0</v>
      </c>
      <c r="F25" s="8">
        <v>0</v>
      </c>
      <c r="G25" s="8">
        <v>100</v>
      </c>
      <c r="H25" s="8">
        <f t="shared" si="8"/>
        <v>100</v>
      </c>
      <c r="I25" s="8">
        <v>0</v>
      </c>
      <c r="J25" s="8">
        <f t="shared" si="2"/>
        <v>35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4"/>
        <v>65</v>
      </c>
      <c r="Q25" s="14">
        <v>100</v>
      </c>
      <c r="R25" s="14">
        <v>1</v>
      </c>
      <c r="S25" s="14">
        <v>0</v>
      </c>
      <c r="T25" s="14">
        <f t="shared" si="17"/>
        <v>19.5</v>
      </c>
      <c r="U25" s="10">
        <f t="shared" si="6"/>
        <v>93</v>
      </c>
    </row>
    <row r="26" s="1" customFormat="1" spans="1:21">
      <c r="A26" s="10" t="s">
        <v>285</v>
      </c>
      <c r="B26" s="11">
        <f t="shared" si="0"/>
        <v>55</v>
      </c>
      <c r="C26" s="11">
        <f t="shared" si="16"/>
        <v>30</v>
      </c>
      <c r="D26" s="11">
        <v>600</v>
      </c>
      <c r="E26" s="11">
        <v>0</v>
      </c>
      <c r="F26" s="8">
        <v>0</v>
      </c>
      <c r="G26" s="8">
        <v>100</v>
      </c>
      <c r="H26" s="8">
        <f t="shared" si="8"/>
        <v>100</v>
      </c>
      <c r="I26" s="8">
        <v>0</v>
      </c>
      <c r="J26" s="8">
        <f t="shared" si="2"/>
        <v>50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4"/>
        <v>50</v>
      </c>
      <c r="Q26" s="14">
        <v>100</v>
      </c>
      <c r="R26" s="14">
        <v>1</v>
      </c>
      <c r="S26" s="14">
        <v>0</v>
      </c>
      <c r="T26" s="14">
        <f t="shared" si="17"/>
        <v>5</v>
      </c>
      <c r="U26" s="10">
        <f t="shared" si="6"/>
        <v>45</v>
      </c>
    </row>
  </sheetData>
  <mergeCells count="14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A5:A6"/>
    <mergeCell ref="U5:U6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1"/>
  <sheetViews>
    <sheetView tabSelected="1" zoomScale="90" zoomScaleNormal="90" topLeftCell="C31" workbookViewId="0">
      <selection activeCell="L60" sqref="L60"/>
    </sheetView>
  </sheetViews>
  <sheetFormatPr defaultColWidth="8.89090909090909" defaultRowHeight="15"/>
  <cols>
    <col min="1" max="1" width="18.1090909090909" style="19" customWidth="1"/>
    <col min="2" max="3" width="8.33636363636364" style="19" customWidth="1"/>
    <col min="4" max="7" width="6.10909090909091" style="19" customWidth="1"/>
    <col min="8" max="8" width="8.33636363636364" style="19" customWidth="1"/>
    <col min="9" max="9" width="18.1090909090909" style="19" customWidth="1"/>
    <col min="10" max="10" width="10.6636363636364" style="19" customWidth="1"/>
    <col min="11" max="12" width="8.33636363636364" style="19" customWidth="1"/>
    <col min="13" max="16" width="6.10909090909091" style="19" customWidth="1"/>
    <col min="17" max="17" width="8.33636363636364" style="19" customWidth="1"/>
    <col min="18" max="18" width="10.6636363636364" style="19" customWidth="1"/>
    <col min="19" max="19" width="18.1090909090909" style="19" customWidth="1"/>
    <col min="20" max="21" width="10.6636363636364" style="19" customWidth="1"/>
    <col min="22" max="16384" width="8.89090909090909" style="19"/>
  </cols>
  <sheetData>
    <row r="1" s="19" customForma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9" customForma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="19" customFormat="1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9" customFormat="1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S4" s="1"/>
      <c r="T4" s="16" t="s">
        <v>6</v>
      </c>
      <c r="U4" s="17"/>
    </row>
    <row r="5" s="19" customFormat="1" spans="1:21">
      <c r="A5" s="10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="19" customFormat="1" spans="1:21">
      <c r="A6" s="10" t="s">
        <v>62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="19" customFormat="1" spans="1:21">
      <c r="A7" s="10" t="s">
        <v>286</v>
      </c>
      <c r="B7" s="11">
        <f t="shared" ref="B7:B26" si="0">55+E7*10</f>
        <v>55</v>
      </c>
      <c r="C7" s="11">
        <f t="shared" ref="C7:C10" si="1">10+E7*5</f>
        <v>10</v>
      </c>
      <c r="D7" s="11">
        <v>600</v>
      </c>
      <c r="E7" s="11">
        <v>0</v>
      </c>
      <c r="F7" s="8">
        <v>0</v>
      </c>
      <c r="G7" s="8">
        <v>100</v>
      </c>
      <c r="H7" s="8">
        <f>100+E7*10</f>
        <v>100</v>
      </c>
      <c r="I7" s="8">
        <v>0</v>
      </c>
      <c r="J7" s="8">
        <f t="shared" ref="J7:J26" si="2">(B7-L7)*(G7/H7)</f>
        <v>50</v>
      </c>
      <c r="K7" s="15">
        <f>55+N7*10</f>
        <v>55</v>
      </c>
      <c r="L7" s="15">
        <f>5+N7*5</f>
        <v>5</v>
      </c>
      <c r="M7" s="15">
        <v>150</v>
      </c>
      <c r="N7" s="15">
        <v>0</v>
      </c>
      <c r="O7" s="14">
        <v>0</v>
      </c>
      <c r="P7" s="14">
        <f t="shared" ref="P7:P26" si="3">Q7-J7</f>
        <v>50</v>
      </c>
      <c r="Q7" s="14">
        <v>100</v>
      </c>
      <c r="R7" s="14">
        <v>1</v>
      </c>
      <c r="S7" s="14">
        <v>0</v>
      </c>
      <c r="T7" s="14">
        <f t="shared" ref="T7:T9" si="4">(K7-C7)*(P7/Q7)</f>
        <v>22.5</v>
      </c>
      <c r="U7" s="10">
        <f t="shared" ref="U7:U26" si="5">(M7*(N7/3+1)*(J7*R7+S7)-(D7*(E7/3+1))*(T7+I7))/100</f>
        <v>-60</v>
      </c>
    </row>
    <row r="8" s="19" customFormat="1" spans="1:21">
      <c r="A8" s="10" t="s">
        <v>287</v>
      </c>
      <c r="B8" s="11">
        <f t="shared" si="0"/>
        <v>55</v>
      </c>
      <c r="C8" s="11">
        <f t="shared" ref="C8:C14" si="6">20+E8*5</f>
        <v>20</v>
      </c>
      <c r="D8" s="11">
        <v>600</v>
      </c>
      <c r="E8" s="11">
        <v>0</v>
      </c>
      <c r="F8" s="8">
        <v>0</v>
      </c>
      <c r="G8" s="8">
        <v>100</v>
      </c>
      <c r="H8" s="8">
        <f t="shared" ref="H8:H26" si="7">100+E8*10</f>
        <v>100</v>
      </c>
      <c r="I8" s="8">
        <v>0</v>
      </c>
      <c r="J8" s="8">
        <f t="shared" si="2"/>
        <v>40</v>
      </c>
      <c r="K8" s="15">
        <f t="shared" ref="K8:K13" si="8">50+N8*10</f>
        <v>50</v>
      </c>
      <c r="L8" s="15">
        <f>15+N8*5</f>
        <v>15</v>
      </c>
      <c r="M8" s="14">
        <v>200</v>
      </c>
      <c r="N8" s="15">
        <v>0</v>
      </c>
      <c r="O8" s="14">
        <v>0</v>
      </c>
      <c r="P8" s="14">
        <f t="shared" si="3"/>
        <v>60</v>
      </c>
      <c r="Q8" s="14">
        <v>100</v>
      </c>
      <c r="R8" s="14">
        <v>1</v>
      </c>
      <c r="S8" s="14">
        <v>0</v>
      </c>
      <c r="T8" s="14">
        <f t="shared" si="4"/>
        <v>18</v>
      </c>
      <c r="U8" s="10">
        <f t="shared" si="5"/>
        <v>-28</v>
      </c>
    </row>
    <row r="9" s="19" customFormat="1" spans="1:21">
      <c r="A9" s="10" t="s">
        <v>288</v>
      </c>
      <c r="B9" s="11">
        <f t="shared" si="0"/>
        <v>55</v>
      </c>
      <c r="C9" s="11">
        <f t="shared" si="1"/>
        <v>10</v>
      </c>
      <c r="D9" s="11">
        <v>600</v>
      </c>
      <c r="E9" s="11">
        <v>0</v>
      </c>
      <c r="F9" s="8">
        <v>0</v>
      </c>
      <c r="G9" s="8">
        <v>100</v>
      </c>
      <c r="H9" s="8">
        <f t="shared" si="7"/>
        <v>100</v>
      </c>
      <c r="I9" s="8">
        <v>0</v>
      </c>
      <c r="J9" s="8">
        <f t="shared" si="2"/>
        <v>55</v>
      </c>
      <c r="K9" s="15">
        <f>40+N9*10</f>
        <v>40</v>
      </c>
      <c r="L9" s="15">
        <f>0+N9*5</f>
        <v>0</v>
      </c>
      <c r="M9" s="14">
        <v>200</v>
      </c>
      <c r="N9" s="15">
        <v>0</v>
      </c>
      <c r="O9" s="14">
        <v>0</v>
      </c>
      <c r="P9" s="14">
        <f t="shared" si="3"/>
        <v>45</v>
      </c>
      <c r="Q9" s="14">
        <v>100</v>
      </c>
      <c r="R9" s="14">
        <v>1</v>
      </c>
      <c r="S9" s="14">
        <v>0</v>
      </c>
      <c r="T9" s="14">
        <f t="shared" si="4"/>
        <v>13.5</v>
      </c>
      <c r="U9" s="10">
        <f t="shared" si="5"/>
        <v>29</v>
      </c>
    </row>
    <row r="10" s="19" customFormat="1" spans="1:21">
      <c r="A10" s="10" t="s">
        <v>289</v>
      </c>
      <c r="B10" s="11">
        <f t="shared" si="0"/>
        <v>55</v>
      </c>
      <c r="C10" s="11">
        <f t="shared" si="1"/>
        <v>10</v>
      </c>
      <c r="D10" s="11">
        <v>600</v>
      </c>
      <c r="E10" s="11">
        <v>0</v>
      </c>
      <c r="F10" s="8">
        <v>0</v>
      </c>
      <c r="G10" s="8">
        <v>100</v>
      </c>
      <c r="H10" s="8">
        <f t="shared" si="7"/>
        <v>100</v>
      </c>
      <c r="I10" s="8">
        <v>0</v>
      </c>
      <c r="J10" s="8">
        <f t="shared" si="2"/>
        <v>50</v>
      </c>
      <c r="K10" s="15">
        <f>45+N10*10</f>
        <v>45</v>
      </c>
      <c r="L10" s="15">
        <f>5+N10*5</f>
        <v>5</v>
      </c>
      <c r="M10" s="14">
        <v>250</v>
      </c>
      <c r="N10" s="15">
        <v>0</v>
      </c>
      <c r="O10" s="14">
        <v>0</v>
      </c>
      <c r="P10" s="14">
        <f t="shared" si="3"/>
        <v>50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5"/>
        <v>125</v>
      </c>
    </row>
    <row r="11" s="19" customFormat="1" spans="1:21">
      <c r="A11" s="10" t="s">
        <v>290</v>
      </c>
      <c r="B11" s="11">
        <f t="shared" si="0"/>
        <v>55</v>
      </c>
      <c r="C11" s="11">
        <f t="shared" si="6"/>
        <v>20</v>
      </c>
      <c r="D11" s="11">
        <v>600</v>
      </c>
      <c r="E11" s="11">
        <v>0</v>
      </c>
      <c r="F11" s="8">
        <v>0</v>
      </c>
      <c r="G11" s="8">
        <v>100</v>
      </c>
      <c r="H11" s="8">
        <f t="shared" si="7"/>
        <v>100</v>
      </c>
      <c r="I11" s="8">
        <v>0</v>
      </c>
      <c r="J11" s="8">
        <f t="shared" si="2"/>
        <v>65</v>
      </c>
      <c r="K11" s="15">
        <f t="shared" si="8"/>
        <v>50</v>
      </c>
      <c r="L11" s="15">
        <f>-10+N11*5</f>
        <v>-10</v>
      </c>
      <c r="M11" s="14">
        <v>250</v>
      </c>
      <c r="N11" s="15">
        <v>0</v>
      </c>
      <c r="O11" s="14">
        <v>0</v>
      </c>
      <c r="P11" s="14">
        <f t="shared" si="3"/>
        <v>35</v>
      </c>
      <c r="Q11" s="14">
        <f>100+N11*5</f>
        <v>100</v>
      </c>
      <c r="R11" s="14">
        <v>1</v>
      </c>
      <c r="S11" s="14">
        <v>0</v>
      </c>
      <c r="T11" s="14">
        <f t="shared" ref="T11:T16" si="9">(K11-C11)*(P11/Q11)</f>
        <v>10.5</v>
      </c>
      <c r="U11" s="10">
        <f t="shared" si="5"/>
        <v>99.5</v>
      </c>
    </row>
    <row r="12" s="19" customFormat="1" spans="1:21">
      <c r="A12" s="10" t="s">
        <v>291</v>
      </c>
      <c r="B12" s="11">
        <f t="shared" si="0"/>
        <v>55</v>
      </c>
      <c r="C12" s="11">
        <f t="shared" ref="C12:C19" si="10">10+E12*5</f>
        <v>10</v>
      </c>
      <c r="D12" s="11">
        <v>600</v>
      </c>
      <c r="E12" s="11">
        <v>0</v>
      </c>
      <c r="F12" s="8">
        <v>0</v>
      </c>
      <c r="G12" s="8">
        <v>100</v>
      </c>
      <c r="H12" s="8">
        <f t="shared" si="7"/>
        <v>100</v>
      </c>
      <c r="I12" s="8">
        <v>0</v>
      </c>
      <c r="J12" s="8">
        <f t="shared" si="2"/>
        <v>40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3"/>
        <v>60</v>
      </c>
      <c r="Q12" s="14">
        <v>100</v>
      </c>
      <c r="R12" s="14">
        <v>1</v>
      </c>
      <c r="S12" s="14">
        <v>0</v>
      </c>
      <c r="T12" s="14">
        <f t="shared" si="9"/>
        <v>30</v>
      </c>
      <c r="U12" s="10">
        <f t="shared" si="5"/>
        <v>-60</v>
      </c>
    </row>
    <row r="13" s="19" customFormat="1" spans="1:21">
      <c r="A13" s="10" t="s">
        <v>292</v>
      </c>
      <c r="B13" s="11">
        <f t="shared" si="0"/>
        <v>55</v>
      </c>
      <c r="C13" s="11">
        <f t="shared" si="6"/>
        <v>20</v>
      </c>
      <c r="D13" s="11">
        <v>600</v>
      </c>
      <c r="E13" s="11">
        <v>0</v>
      </c>
      <c r="F13" s="8">
        <v>0</v>
      </c>
      <c r="G13" s="8">
        <v>100</v>
      </c>
      <c r="H13" s="8">
        <f t="shared" si="7"/>
        <v>100</v>
      </c>
      <c r="I13" s="8">
        <v>0</v>
      </c>
      <c r="J13" s="8">
        <f t="shared" si="2"/>
        <v>35</v>
      </c>
      <c r="K13" s="15">
        <f t="shared" si="8"/>
        <v>50</v>
      </c>
      <c r="L13" s="15">
        <f>20+N13*5</f>
        <v>20</v>
      </c>
      <c r="M13" s="14">
        <v>300</v>
      </c>
      <c r="N13" s="15">
        <v>0</v>
      </c>
      <c r="O13" s="14">
        <v>0</v>
      </c>
      <c r="P13" s="14">
        <f t="shared" si="3"/>
        <v>65</v>
      </c>
      <c r="Q13" s="14">
        <v>100</v>
      </c>
      <c r="R13" s="14">
        <v>1</v>
      </c>
      <c r="S13" s="14">
        <v>0</v>
      </c>
      <c r="T13" s="14">
        <f t="shared" si="9"/>
        <v>19.5</v>
      </c>
      <c r="U13" s="10">
        <f t="shared" si="5"/>
        <v>-12</v>
      </c>
    </row>
    <row r="14" s="19" customFormat="1" spans="1:21">
      <c r="A14" s="10" t="s">
        <v>293</v>
      </c>
      <c r="B14" s="11">
        <f t="shared" si="0"/>
        <v>55</v>
      </c>
      <c r="C14" s="11">
        <f t="shared" si="6"/>
        <v>20</v>
      </c>
      <c r="D14" s="11">
        <v>600</v>
      </c>
      <c r="E14" s="11">
        <v>0</v>
      </c>
      <c r="F14" s="8">
        <v>0</v>
      </c>
      <c r="G14" s="8">
        <v>100</v>
      </c>
      <c r="H14" s="8">
        <f t="shared" si="7"/>
        <v>100</v>
      </c>
      <c r="I14" s="8">
        <v>0</v>
      </c>
      <c r="J14" s="8">
        <f t="shared" si="2"/>
        <v>15</v>
      </c>
      <c r="K14" s="15">
        <f>45+N14*5</f>
        <v>45</v>
      </c>
      <c r="L14" s="15">
        <f>40+N14*5</f>
        <v>40</v>
      </c>
      <c r="M14" s="14">
        <v>400</v>
      </c>
      <c r="N14" s="15">
        <v>0</v>
      </c>
      <c r="O14" s="14">
        <v>0</v>
      </c>
      <c r="P14" s="14">
        <f t="shared" si="3"/>
        <v>85</v>
      </c>
      <c r="Q14" s="14">
        <v>100</v>
      </c>
      <c r="R14" s="14">
        <v>1</v>
      </c>
      <c r="S14" s="14">
        <v>0</v>
      </c>
      <c r="T14" s="14">
        <f t="shared" si="9"/>
        <v>21.25</v>
      </c>
      <c r="U14" s="10">
        <f t="shared" si="5"/>
        <v>-67.5</v>
      </c>
    </row>
    <row r="15" s="19" customFormat="1" spans="1:21">
      <c r="A15" s="10" t="s">
        <v>294</v>
      </c>
      <c r="B15" s="11">
        <f t="shared" si="0"/>
        <v>55</v>
      </c>
      <c r="C15" s="11">
        <f t="shared" si="10"/>
        <v>10</v>
      </c>
      <c r="D15" s="11">
        <v>600</v>
      </c>
      <c r="E15" s="11">
        <v>0</v>
      </c>
      <c r="F15" s="8">
        <v>0</v>
      </c>
      <c r="G15" s="8">
        <v>100</v>
      </c>
      <c r="H15" s="8">
        <f t="shared" si="7"/>
        <v>100</v>
      </c>
      <c r="I15" s="8">
        <v>0</v>
      </c>
      <c r="J15" s="8">
        <f t="shared" si="2"/>
        <v>45</v>
      </c>
      <c r="K15" s="15">
        <f>50+N15*5</f>
        <v>50</v>
      </c>
      <c r="L15" s="15">
        <f t="shared" ref="L15:L19" si="11">10+N15*5</f>
        <v>10</v>
      </c>
      <c r="M15" s="14">
        <v>400</v>
      </c>
      <c r="N15" s="15">
        <v>0</v>
      </c>
      <c r="O15" s="14">
        <v>0</v>
      </c>
      <c r="P15" s="14">
        <f t="shared" si="3"/>
        <v>55</v>
      </c>
      <c r="Q15" s="14">
        <v>100</v>
      </c>
      <c r="R15" s="14">
        <v>1</v>
      </c>
      <c r="S15" s="14">
        <v>0</v>
      </c>
      <c r="T15" s="14">
        <f t="shared" si="9"/>
        <v>22</v>
      </c>
      <c r="U15" s="10">
        <f t="shared" si="5"/>
        <v>48</v>
      </c>
    </row>
    <row r="16" s="19" customFormat="1" spans="1:21">
      <c r="A16" s="10" t="s">
        <v>295</v>
      </c>
      <c r="B16" s="11">
        <f t="shared" si="0"/>
        <v>55</v>
      </c>
      <c r="C16" s="11">
        <f t="shared" ref="C16:C21" si="12">20+E16*5</f>
        <v>20</v>
      </c>
      <c r="D16" s="11">
        <v>600</v>
      </c>
      <c r="E16" s="11">
        <v>0</v>
      </c>
      <c r="F16" s="8">
        <v>0</v>
      </c>
      <c r="G16" s="8">
        <v>100</v>
      </c>
      <c r="H16" s="8">
        <f t="shared" si="7"/>
        <v>100</v>
      </c>
      <c r="I16" s="8">
        <v>0</v>
      </c>
      <c r="J16" s="8">
        <f t="shared" si="2"/>
        <v>25</v>
      </c>
      <c r="K16" s="15">
        <f>55+N16*5</f>
        <v>55</v>
      </c>
      <c r="L16" s="15">
        <f>30+N16*5</f>
        <v>30</v>
      </c>
      <c r="M16" s="14">
        <v>500</v>
      </c>
      <c r="N16" s="15">
        <v>0</v>
      </c>
      <c r="O16" s="14">
        <v>0</v>
      </c>
      <c r="P16" s="14">
        <f t="shared" si="3"/>
        <v>75</v>
      </c>
      <c r="Q16" s="14">
        <v>100</v>
      </c>
      <c r="R16" s="14">
        <v>1</v>
      </c>
      <c r="S16" s="14">
        <v>0</v>
      </c>
      <c r="T16" s="14">
        <f t="shared" si="9"/>
        <v>26.25</v>
      </c>
      <c r="U16" s="10">
        <f t="shared" si="5"/>
        <v>-32.5</v>
      </c>
    </row>
    <row r="17" s="19" customFormat="1" spans="1:21">
      <c r="A17" s="10" t="s">
        <v>296</v>
      </c>
      <c r="B17" s="11">
        <f t="shared" si="0"/>
        <v>55</v>
      </c>
      <c r="C17" s="11">
        <f t="shared" si="10"/>
        <v>10</v>
      </c>
      <c r="D17" s="11">
        <v>600</v>
      </c>
      <c r="E17" s="11">
        <v>0</v>
      </c>
      <c r="F17" s="8">
        <v>0</v>
      </c>
      <c r="G17" s="8">
        <v>100</v>
      </c>
      <c r="H17" s="8">
        <f t="shared" si="7"/>
        <v>100</v>
      </c>
      <c r="I17" s="8">
        <v>0</v>
      </c>
      <c r="J17" s="8">
        <f t="shared" si="2"/>
        <v>45</v>
      </c>
      <c r="K17" s="14">
        <f>70+N17*10</f>
        <v>70</v>
      </c>
      <c r="L17" s="14">
        <f t="shared" si="11"/>
        <v>10</v>
      </c>
      <c r="M17" s="14">
        <v>500</v>
      </c>
      <c r="N17" s="14">
        <v>0</v>
      </c>
      <c r="O17" s="14">
        <v>0</v>
      </c>
      <c r="P17" s="14">
        <f t="shared" si="3"/>
        <v>55</v>
      </c>
      <c r="Q17" s="14">
        <v>100</v>
      </c>
      <c r="R17" s="14">
        <v>1</v>
      </c>
      <c r="S17" s="14">
        <v>0</v>
      </c>
      <c r="T17" s="14">
        <f>(K17-C17)*1</f>
        <v>60</v>
      </c>
      <c r="U17" s="10">
        <f t="shared" si="5"/>
        <v>-135</v>
      </c>
    </row>
    <row r="18" s="19" customFormat="1" spans="1:21">
      <c r="A18" s="10" t="s">
        <v>297</v>
      </c>
      <c r="B18" s="11">
        <f t="shared" si="0"/>
        <v>55</v>
      </c>
      <c r="C18" s="11">
        <f t="shared" si="10"/>
        <v>10</v>
      </c>
      <c r="D18" s="11">
        <v>600</v>
      </c>
      <c r="E18" s="11">
        <v>0</v>
      </c>
      <c r="F18" s="8">
        <v>0</v>
      </c>
      <c r="G18" s="8">
        <v>100</v>
      </c>
      <c r="H18" s="8">
        <f t="shared" si="7"/>
        <v>100</v>
      </c>
      <c r="I18" s="8">
        <v>0</v>
      </c>
      <c r="J18" s="8">
        <f t="shared" si="2"/>
        <v>45</v>
      </c>
      <c r="K18" s="14">
        <f>75+N18*10</f>
        <v>75</v>
      </c>
      <c r="L18" s="14">
        <f t="shared" si="11"/>
        <v>10</v>
      </c>
      <c r="M18" s="14">
        <v>600</v>
      </c>
      <c r="N18" s="15">
        <v>0</v>
      </c>
      <c r="O18" s="14">
        <v>0</v>
      </c>
      <c r="P18" s="14">
        <f t="shared" si="3"/>
        <v>55</v>
      </c>
      <c r="Q18" s="14">
        <v>100</v>
      </c>
      <c r="R18" s="14">
        <v>1</v>
      </c>
      <c r="S18" s="14">
        <v>0</v>
      </c>
      <c r="T18" s="14">
        <f t="shared" ref="T18:T21" si="13">(K18-C18)*(P18/Q18)</f>
        <v>35.75</v>
      </c>
      <c r="U18" s="10">
        <f t="shared" si="5"/>
        <v>55.5</v>
      </c>
    </row>
    <row r="19" s="19" customFormat="1" spans="1:21">
      <c r="A19" s="10" t="s">
        <v>298</v>
      </c>
      <c r="B19" s="11">
        <f t="shared" si="0"/>
        <v>55</v>
      </c>
      <c r="C19" s="11">
        <f t="shared" si="10"/>
        <v>10</v>
      </c>
      <c r="D19" s="11">
        <v>600</v>
      </c>
      <c r="E19" s="11">
        <v>0</v>
      </c>
      <c r="F19" s="8">
        <v>0</v>
      </c>
      <c r="G19" s="8">
        <v>100</v>
      </c>
      <c r="H19" s="8">
        <f t="shared" si="7"/>
        <v>100</v>
      </c>
      <c r="I19" s="8">
        <v>0</v>
      </c>
      <c r="J19" s="8">
        <f t="shared" si="2"/>
        <v>45</v>
      </c>
      <c r="K19" s="14">
        <f>55+N19*5</f>
        <v>55</v>
      </c>
      <c r="L19" s="14">
        <f t="shared" si="11"/>
        <v>10</v>
      </c>
      <c r="M19" s="14">
        <v>600</v>
      </c>
      <c r="N19" s="14">
        <v>0</v>
      </c>
      <c r="O19" s="14">
        <v>0</v>
      </c>
      <c r="P19" s="14">
        <f t="shared" si="3"/>
        <v>55</v>
      </c>
      <c r="Q19" s="14">
        <f>100+N19*25</f>
        <v>100</v>
      </c>
      <c r="R19" s="14">
        <v>1</v>
      </c>
      <c r="S19" s="14">
        <v>0</v>
      </c>
      <c r="T19" s="14">
        <f t="shared" si="13"/>
        <v>24.75</v>
      </c>
      <c r="U19" s="10">
        <f t="shared" si="5"/>
        <v>121.5</v>
      </c>
    </row>
    <row r="20" s="19" customFormat="1" spans="1:21">
      <c r="A20" s="10" t="s">
        <v>299</v>
      </c>
      <c r="B20" s="11">
        <f t="shared" si="0"/>
        <v>55</v>
      </c>
      <c r="C20" s="11">
        <f t="shared" si="12"/>
        <v>20</v>
      </c>
      <c r="D20" s="11">
        <v>600</v>
      </c>
      <c r="E20" s="11">
        <v>0</v>
      </c>
      <c r="F20" s="8">
        <v>0</v>
      </c>
      <c r="G20" s="8">
        <v>100</v>
      </c>
      <c r="H20" s="8">
        <f t="shared" si="7"/>
        <v>100</v>
      </c>
      <c r="I20" s="8">
        <v>0</v>
      </c>
      <c r="J20" s="8">
        <f t="shared" si="2"/>
        <v>35</v>
      </c>
      <c r="K20" s="14">
        <f>55+N20*10</f>
        <v>55</v>
      </c>
      <c r="L20" s="14">
        <f>20+N20*5</f>
        <v>20</v>
      </c>
      <c r="M20" s="14">
        <v>600</v>
      </c>
      <c r="N20" s="15">
        <v>0</v>
      </c>
      <c r="O20" s="14">
        <v>0</v>
      </c>
      <c r="P20" s="14">
        <f t="shared" si="3"/>
        <v>65</v>
      </c>
      <c r="Q20" s="14">
        <f>100+N20*10</f>
        <v>100</v>
      </c>
      <c r="R20" s="14">
        <v>1</v>
      </c>
      <c r="S20" s="14">
        <v>0</v>
      </c>
      <c r="T20" s="14">
        <f t="shared" si="13"/>
        <v>22.75</v>
      </c>
      <c r="U20" s="10">
        <f t="shared" si="5"/>
        <v>73.5</v>
      </c>
    </row>
    <row r="21" s="19" customFormat="1" spans="1:21">
      <c r="A21" s="10" t="s">
        <v>300</v>
      </c>
      <c r="B21" s="11">
        <f t="shared" si="0"/>
        <v>55</v>
      </c>
      <c r="C21" s="11">
        <f t="shared" si="12"/>
        <v>20</v>
      </c>
      <c r="D21" s="11">
        <v>600</v>
      </c>
      <c r="E21" s="11">
        <v>0</v>
      </c>
      <c r="F21" s="8">
        <v>0</v>
      </c>
      <c r="G21" s="8">
        <v>100</v>
      </c>
      <c r="H21" s="8">
        <f t="shared" si="7"/>
        <v>100</v>
      </c>
      <c r="I21" s="8">
        <v>0</v>
      </c>
      <c r="J21" s="8">
        <f t="shared" si="2"/>
        <v>25</v>
      </c>
      <c r="K21" s="14">
        <f>40+N21*5</f>
        <v>40</v>
      </c>
      <c r="L21" s="14">
        <f>30+N21*5</f>
        <v>30</v>
      </c>
      <c r="M21" s="14">
        <v>600</v>
      </c>
      <c r="N21" s="14">
        <v>0</v>
      </c>
      <c r="O21" s="14">
        <v>0</v>
      </c>
      <c r="P21" s="14">
        <f t="shared" si="3"/>
        <v>75</v>
      </c>
      <c r="Q21" s="14">
        <v>100</v>
      </c>
      <c r="R21" s="14">
        <v>1</v>
      </c>
      <c r="S21" s="14">
        <v>0</v>
      </c>
      <c r="T21" s="14">
        <f t="shared" si="13"/>
        <v>15</v>
      </c>
      <c r="U21" s="10">
        <f t="shared" si="5"/>
        <v>60</v>
      </c>
    </row>
    <row r="22" s="19" customFormat="1" spans="1:21">
      <c r="A22" s="10" t="s">
        <v>301</v>
      </c>
      <c r="B22" s="11">
        <f t="shared" si="0"/>
        <v>55</v>
      </c>
      <c r="C22" s="11">
        <f t="shared" ref="C22:C26" si="14">10+E22*5</f>
        <v>10</v>
      </c>
      <c r="D22" s="11">
        <v>600</v>
      </c>
      <c r="E22" s="11">
        <v>0</v>
      </c>
      <c r="F22" s="8">
        <v>0</v>
      </c>
      <c r="G22" s="8">
        <v>100</v>
      </c>
      <c r="H22" s="8">
        <f t="shared" si="7"/>
        <v>100</v>
      </c>
      <c r="I22" s="8">
        <v>0</v>
      </c>
      <c r="J22" s="8">
        <f t="shared" si="2"/>
        <v>50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3"/>
        <v>50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5"/>
        <v>400</v>
      </c>
    </row>
    <row r="23" s="19" customFormat="1" spans="1:21">
      <c r="A23" s="10" t="s">
        <v>302</v>
      </c>
      <c r="B23" s="11">
        <f t="shared" si="0"/>
        <v>55</v>
      </c>
      <c r="C23" s="11">
        <f t="shared" si="14"/>
        <v>10</v>
      </c>
      <c r="D23" s="11">
        <v>600</v>
      </c>
      <c r="E23" s="11">
        <v>0</v>
      </c>
      <c r="F23" s="8">
        <v>0</v>
      </c>
      <c r="G23" s="8">
        <v>100</v>
      </c>
      <c r="H23" s="8">
        <f t="shared" si="7"/>
        <v>100</v>
      </c>
      <c r="I23" s="8">
        <v>0</v>
      </c>
      <c r="J23" s="8">
        <f t="shared" si="2"/>
        <v>45</v>
      </c>
      <c r="K23" s="14">
        <f>60+N23*10</f>
        <v>60</v>
      </c>
      <c r="L23" s="14">
        <f>10+N23*5</f>
        <v>10</v>
      </c>
      <c r="M23" s="14">
        <v>800</v>
      </c>
      <c r="N23" s="14">
        <v>0</v>
      </c>
      <c r="O23" s="14">
        <v>0</v>
      </c>
      <c r="P23" s="14">
        <f t="shared" si="3"/>
        <v>55</v>
      </c>
      <c r="Q23" s="14">
        <v>100</v>
      </c>
      <c r="R23" s="14">
        <v>1</v>
      </c>
      <c r="S23" s="14">
        <v>0</v>
      </c>
      <c r="T23" s="14">
        <f>(K23+10-C23)*(P23/Q23)</f>
        <v>33</v>
      </c>
      <c r="U23" s="10">
        <f t="shared" si="5"/>
        <v>162</v>
      </c>
    </row>
    <row r="24" s="19" customFormat="1" spans="1:21">
      <c r="A24" s="10" t="s">
        <v>303</v>
      </c>
      <c r="B24" s="11">
        <f t="shared" si="0"/>
        <v>55</v>
      </c>
      <c r="C24" s="11">
        <f>20+E24*5</f>
        <v>20</v>
      </c>
      <c r="D24" s="11">
        <v>600</v>
      </c>
      <c r="E24" s="11">
        <v>0</v>
      </c>
      <c r="F24" s="8">
        <v>0</v>
      </c>
      <c r="G24" s="8">
        <v>100</v>
      </c>
      <c r="H24" s="8">
        <f t="shared" si="7"/>
        <v>100</v>
      </c>
      <c r="I24" s="8">
        <v>0</v>
      </c>
      <c r="J24" s="8">
        <f t="shared" si="2"/>
        <v>30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3"/>
        <v>70</v>
      </c>
      <c r="Q24" s="14">
        <v>100</v>
      </c>
      <c r="R24" s="14">
        <v>1</v>
      </c>
      <c r="S24" s="14">
        <v>0</v>
      </c>
      <c r="T24" s="14">
        <f>(K24-C24)*(P24/Q24)*1.5</f>
        <v>52.5</v>
      </c>
      <c r="U24" s="10">
        <f t="shared" si="5"/>
        <v>-15</v>
      </c>
    </row>
    <row r="25" s="19" customFormat="1" spans="1:21">
      <c r="A25" s="10" t="s">
        <v>304</v>
      </c>
      <c r="B25" s="11">
        <f t="shared" si="0"/>
        <v>55</v>
      </c>
      <c r="C25" s="11">
        <f t="shared" si="14"/>
        <v>10</v>
      </c>
      <c r="D25" s="11">
        <v>600</v>
      </c>
      <c r="E25" s="11">
        <v>0</v>
      </c>
      <c r="F25" s="8">
        <v>0</v>
      </c>
      <c r="G25" s="8">
        <v>100</v>
      </c>
      <c r="H25" s="8">
        <f t="shared" si="7"/>
        <v>100</v>
      </c>
      <c r="I25" s="8">
        <v>0</v>
      </c>
      <c r="J25" s="8">
        <f t="shared" si="2"/>
        <v>35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3"/>
        <v>65</v>
      </c>
      <c r="Q25" s="14">
        <v>100</v>
      </c>
      <c r="R25" s="14">
        <v>1</v>
      </c>
      <c r="S25" s="14">
        <v>0</v>
      </c>
      <c r="T25" s="14">
        <f>(K25-C25)*(P25/Q25)</f>
        <v>32.5</v>
      </c>
      <c r="U25" s="10">
        <f t="shared" si="5"/>
        <v>15</v>
      </c>
    </row>
    <row r="26" s="19" customFormat="1" spans="1:21">
      <c r="A26" s="10" t="s">
        <v>305</v>
      </c>
      <c r="B26" s="11">
        <f t="shared" si="0"/>
        <v>55</v>
      </c>
      <c r="C26" s="11">
        <f t="shared" si="14"/>
        <v>10</v>
      </c>
      <c r="D26" s="11">
        <v>600</v>
      </c>
      <c r="E26" s="11">
        <v>0</v>
      </c>
      <c r="F26" s="8">
        <v>0</v>
      </c>
      <c r="G26" s="8">
        <v>100</v>
      </c>
      <c r="H26" s="8">
        <f t="shared" si="7"/>
        <v>100</v>
      </c>
      <c r="I26" s="8">
        <v>0</v>
      </c>
      <c r="J26" s="8">
        <f t="shared" si="2"/>
        <v>50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3"/>
        <v>50</v>
      </c>
      <c r="Q26" s="14">
        <v>100</v>
      </c>
      <c r="R26" s="14">
        <v>1</v>
      </c>
      <c r="S26" s="14">
        <v>0</v>
      </c>
      <c r="T26" s="14">
        <f>(K26-C26)*(P26/Q26)</f>
        <v>15</v>
      </c>
      <c r="U26" s="10">
        <f t="shared" si="5"/>
        <v>-15</v>
      </c>
    </row>
    <row r="27" s="19" customFormat="1" spans="1:1">
      <c r="A27" s="20"/>
    </row>
    <row r="28" s="19" customFormat="1" spans="1:21">
      <c r="A28" s="10" t="s">
        <v>7</v>
      </c>
      <c r="B28" s="8" t="s">
        <v>8</v>
      </c>
      <c r="C28" s="8"/>
      <c r="D28" s="8"/>
      <c r="E28" s="8"/>
      <c r="F28" s="8"/>
      <c r="G28" s="8"/>
      <c r="H28" s="8"/>
      <c r="I28" s="8"/>
      <c r="J28" s="8"/>
      <c r="K28" s="14" t="s">
        <v>9</v>
      </c>
      <c r="L28" s="14"/>
      <c r="M28" s="14"/>
      <c r="N28" s="14"/>
      <c r="O28" s="14"/>
      <c r="P28" s="14"/>
      <c r="Q28" s="14"/>
      <c r="R28" s="14"/>
      <c r="S28" s="14"/>
      <c r="T28" s="18"/>
      <c r="U28" s="10" t="s">
        <v>10</v>
      </c>
    </row>
    <row r="29" s="19" customFormat="1" spans="1:21">
      <c r="A29" s="10" t="s">
        <v>83</v>
      </c>
      <c r="B29" s="8" t="s">
        <v>11</v>
      </c>
      <c r="C29" s="8" t="s">
        <v>12</v>
      </c>
      <c r="D29" s="8" t="s">
        <v>13</v>
      </c>
      <c r="E29" s="8" t="s">
        <v>14</v>
      </c>
      <c r="F29" s="8" t="s">
        <v>15</v>
      </c>
      <c r="G29" s="8" t="s">
        <v>16</v>
      </c>
      <c r="H29" s="8" t="s">
        <v>17</v>
      </c>
      <c r="I29" s="8" t="s">
        <v>18</v>
      </c>
      <c r="J29" s="8" t="s">
        <v>19</v>
      </c>
      <c r="K29" s="14" t="s">
        <v>11</v>
      </c>
      <c r="L29" s="14" t="s">
        <v>12</v>
      </c>
      <c r="M29" s="14" t="s">
        <v>13</v>
      </c>
      <c r="N29" s="14" t="s">
        <v>14</v>
      </c>
      <c r="O29" s="14" t="s">
        <v>15</v>
      </c>
      <c r="P29" s="14" t="s">
        <v>16</v>
      </c>
      <c r="Q29" s="14" t="s">
        <v>17</v>
      </c>
      <c r="R29" s="14" t="s">
        <v>20</v>
      </c>
      <c r="S29" s="14" t="s">
        <v>18</v>
      </c>
      <c r="T29" s="18" t="s">
        <v>21</v>
      </c>
      <c r="U29" s="10"/>
    </row>
    <row r="30" s="19" customFormat="1" spans="1:21">
      <c r="A30" s="10" t="s">
        <v>286</v>
      </c>
      <c r="B30" s="11">
        <f t="shared" ref="B30:B49" si="15">55+E30*10</f>
        <v>55</v>
      </c>
      <c r="C30" s="11">
        <f t="shared" ref="C30:C33" si="16">10+E30*5</f>
        <v>10</v>
      </c>
      <c r="D30" s="11">
        <v>600</v>
      </c>
      <c r="E30" s="11">
        <v>0</v>
      </c>
      <c r="F30" s="8">
        <v>0</v>
      </c>
      <c r="G30" s="8">
        <v>100</v>
      </c>
      <c r="H30" s="8">
        <f t="shared" ref="H30:H49" si="17">100+E30*10</f>
        <v>100</v>
      </c>
      <c r="I30" s="8">
        <v>0</v>
      </c>
      <c r="J30" s="8">
        <f t="shared" ref="J30:J41" si="18">(B30-L30)*(G30/H30)</f>
        <v>50</v>
      </c>
      <c r="K30" s="15">
        <f>55+N30*10</f>
        <v>55</v>
      </c>
      <c r="L30" s="15">
        <f>5+N30*5</f>
        <v>5</v>
      </c>
      <c r="M30" s="15">
        <v>150</v>
      </c>
      <c r="N30" s="15">
        <v>0</v>
      </c>
      <c r="O30" s="14">
        <v>0</v>
      </c>
      <c r="P30" s="14">
        <f t="shared" ref="P30:P49" si="19">Q30-J30</f>
        <v>50</v>
      </c>
      <c r="Q30" s="14">
        <v>100</v>
      </c>
      <c r="R30" s="14">
        <v>1</v>
      </c>
      <c r="S30" s="14">
        <v>0</v>
      </c>
      <c r="T30" s="14">
        <v>0</v>
      </c>
      <c r="U30" s="10">
        <f t="shared" ref="U30:U49" si="20">(M30*(N30/3+1)*(J30*R30+S30)-(D30*(E30/3+1))*(T30+I30))/100</f>
        <v>75</v>
      </c>
    </row>
    <row r="31" s="19" customFormat="1" spans="1:21">
      <c r="A31" s="10" t="s">
        <v>287</v>
      </c>
      <c r="B31" s="11">
        <f t="shared" si="15"/>
        <v>55</v>
      </c>
      <c r="C31" s="11">
        <f t="shared" ref="C31:C37" si="21">20+E31*5</f>
        <v>20</v>
      </c>
      <c r="D31" s="11">
        <v>600</v>
      </c>
      <c r="E31" s="11">
        <v>0</v>
      </c>
      <c r="F31" s="8">
        <v>0</v>
      </c>
      <c r="G31" s="8">
        <v>100</v>
      </c>
      <c r="H31" s="8">
        <f t="shared" si="17"/>
        <v>100</v>
      </c>
      <c r="I31" s="8">
        <v>0</v>
      </c>
      <c r="J31" s="8">
        <f t="shared" si="18"/>
        <v>40</v>
      </c>
      <c r="K31" s="15">
        <f t="shared" ref="K31:K36" si="22">50+N31*10</f>
        <v>50</v>
      </c>
      <c r="L31" s="15">
        <f>15+N31*5</f>
        <v>15</v>
      </c>
      <c r="M31" s="14">
        <v>200</v>
      </c>
      <c r="N31" s="15">
        <v>0</v>
      </c>
      <c r="O31" s="14">
        <v>0</v>
      </c>
      <c r="P31" s="14">
        <f t="shared" si="19"/>
        <v>60</v>
      </c>
      <c r="Q31" s="14">
        <v>100</v>
      </c>
      <c r="R31" s="14">
        <v>1</v>
      </c>
      <c r="S31" s="14">
        <v>0</v>
      </c>
      <c r="T31" s="14">
        <v>0</v>
      </c>
      <c r="U31" s="10">
        <f t="shared" si="20"/>
        <v>80</v>
      </c>
    </row>
    <row r="32" s="19" customFormat="1" spans="1:21">
      <c r="A32" s="10" t="s">
        <v>288</v>
      </c>
      <c r="B32" s="11">
        <f t="shared" si="15"/>
        <v>55</v>
      </c>
      <c r="C32" s="11">
        <f t="shared" si="16"/>
        <v>10</v>
      </c>
      <c r="D32" s="11">
        <v>600</v>
      </c>
      <c r="E32" s="11">
        <v>0</v>
      </c>
      <c r="F32" s="8">
        <v>0</v>
      </c>
      <c r="G32" s="8">
        <v>100</v>
      </c>
      <c r="H32" s="8">
        <f t="shared" si="17"/>
        <v>100</v>
      </c>
      <c r="I32" s="8">
        <v>0</v>
      </c>
      <c r="J32" s="8">
        <f t="shared" si="18"/>
        <v>55</v>
      </c>
      <c r="K32" s="15">
        <f>40+N32*10</f>
        <v>40</v>
      </c>
      <c r="L32" s="15">
        <f>0+N32*5</f>
        <v>0</v>
      </c>
      <c r="M32" s="14">
        <v>200</v>
      </c>
      <c r="N32" s="15">
        <v>0</v>
      </c>
      <c r="O32" s="14">
        <v>0</v>
      </c>
      <c r="P32" s="14">
        <f t="shared" si="19"/>
        <v>45</v>
      </c>
      <c r="Q32" s="14">
        <v>100</v>
      </c>
      <c r="R32" s="14">
        <v>1</v>
      </c>
      <c r="S32" s="14">
        <v>0</v>
      </c>
      <c r="T32" s="14">
        <v>0</v>
      </c>
      <c r="U32" s="10">
        <f t="shared" si="20"/>
        <v>110</v>
      </c>
    </row>
    <row r="33" s="19" customFormat="1" spans="1:21">
      <c r="A33" s="10" t="s">
        <v>289</v>
      </c>
      <c r="B33" s="11">
        <f t="shared" si="15"/>
        <v>55</v>
      </c>
      <c r="C33" s="11">
        <f t="shared" si="16"/>
        <v>10</v>
      </c>
      <c r="D33" s="11">
        <v>600</v>
      </c>
      <c r="E33" s="11">
        <v>0</v>
      </c>
      <c r="F33" s="8">
        <v>0</v>
      </c>
      <c r="G33" s="8">
        <v>100</v>
      </c>
      <c r="H33" s="8">
        <f t="shared" si="17"/>
        <v>100</v>
      </c>
      <c r="I33" s="8">
        <v>0</v>
      </c>
      <c r="J33" s="8">
        <f t="shared" si="18"/>
        <v>50</v>
      </c>
      <c r="K33" s="15">
        <f>45+N33*10</f>
        <v>45</v>
      </c>
      <c r="L33" s="15">
        <f>5+N33*5</f>
        <v>5</v>
      </c>
      <c r="M33" s="14">
        <v>250</v>
      </c>
      <c r="N33" s="15">
        <v>0</v>
      </c>
      <c r="O33" s="14">
        <v>0</v>
      </c>
      <c r="P33" s="14">
        <f t="shared" si="19"/>
        <v>50</v>
      </c>
      <c r="Q33" s="14">
        <v>100</v>
      </c>
      <c r="R33" s="14">
        <v>1</v>
      </c>
      <c r="S33" s="14">
        <v>0</v>
      </c>
      <c r="T33" s="14">
        <v>0</v>
      </c>
      <c r="U33" s="10">
        <f t="shared" si="20"/>
        <v>125</v>
      </c>
    </row>
    <row r="34" s="19" customFormat="1" spans="1:21">
      <c r="A34" s="10" t="s">
        <v>290</v>
      </c>
      <c r="B34" s="11">
        <f t="shared" si="15"/>
        <v>55</v>
      </c>
      <c r="C34" s="11">
        <f t="shared" si="21"/>
        <v>20</v>
      </c>
      <c r="D34" s="11">
        <v>600</v>
      </c>
      <c r="E34" s="11">
        <v>0</v>
      </c>
      <c r="F34" s="8">
        <v>0</v>
      </c>
      <c r="G34" s="8">
        <v>100</v>
      </c>
      <c r="H34" s="8">
        <f t="shared" si="17"/>
        <v>100</v>
      </c>
      <c r="I34" s="8">
        <v>0</v>
      </c>
      <c r="J34" s="8">
        <f t="shared" si="18"/>
        <v>65</v>
      </c>
      <c r="K34" s="15">
        <f t="shared" si="22"/>
        <v>50</v>
      </c>
      <c r="L34" s="15">
        <f>-10+N34*5</f>
        <v>-10</v>
      </c>
      <c r="M34" s="14">
        <v>250</v>
      </c>
      <c r="N34" s="15">
        <v>0</v>
      </c>
      <c r="O34" s="14">
        <v>0</v>
      </c>
      <c r="P34" s="14">
        <f t="shared" si="19"/>
        <v>35</v>
      </c>
      <c r="Q34" s="14">
        <f>100+N34*5</f>
        <v>100</v>
      </c>
      <c r="R34" s="14">
        <v>1</v>
      </c>
      <c r="S34" s="14">
        <v>0</v>
      </c>
      <c r="T34" s="14">
        <v>0</v>
      </c>
      <c r="U34" s="10">
        <f t="shared" si="20"/>
        <v>162.5</v>
      </c>
    </row>
    <row r="35" s="19" customFormat="1" spans="1:21">
      <c r="A35" s="10" t="s">
        <v>291</v>
      </c>
      <c r="B35" s="11">
        <f t="shared" si="15"/>
        <v>55</v>
      </c>
      <c r="C35" s="11">
        <f t="shared" ref="C35:C42" si="23">10+E35*5</f>
        <v>10</v>
      </c>
      <c r="D35" s="11">
        <v>600</v>
      </c>
      <c r="E35" s="11">
        <v>0</v>
      </c>
      <c r="F35" s="8">
        <v>0</v>
      </c>
      <c r="G35" s="8">
        <v>100</v>
      </c>
      <c r="H35" s="8">
        <f t="shared" si="17"/>
        <v>100</v>
      </c>
      <c r="I35" s="8">
        <v>0</v>
      </c>
      <c r="J35" s="8">
        <f t="shared" si="18"/>
        <v>40</v>
      </c>
      <c r="K35" s="15">
        <f>60+N35*10</f>
        <v>60</v>
      </c>
      <c r="L35" s="15">
        <f>15+N35*5</f>
        <v>15</v>
      </c>
      <c r="M35" s="14">
        <v>300</v>
      </c>
      <c r="N35" s="15">
        <v>0</v>
      </c>
      <c r="O35" s="14">
        <v>0</v>
      </c>
      <c r="P35" s="14">
        <f t="shared" si="19"/>
        <v>60</v>
      </c>
      <c r="Q35" s="14">
        <v>100</v>
      </c>
      <c r="R35" s="14">
        <v>1</v>
      </c>
      <c r="S35" s="14">
        <v>0</v>
      </c>
      <c r="T35" s="14">
        <v>0</v>
      </c>
      <c r="U35" s="10">
        <f t="shared" si="20"/>
        <v>120</v>
      </c>
    </row>
    <row r="36" s="19" customFormat="1" spans="1:21">
      <c r="A36" s="10" t="s">
        <v>292</v>
      </c>
      <c r="B36" s="11">
        <f t="shared" si="15"/>
        <v>55</v>
      </c>
      <c r="C36" s="11">
        <f t="shared" si="21"/>
        <v>20</v>
      </c>
      <c r="D36" s="11">
        <v>600</v>
      </c>
      <c r="E36" s="11">
        <v>0</v>
      </c>
      <c r="F36" s="8">
        <v>0</v>
      </c>
      <c r="G36" s="8">
        <v>100</v>
      </c>
      <c r="H36" s="8">
        <f t="shared" si="17"/>
        <v>100</v>
      </c>
      <c r="I36" s="8">
        <v>0</v>
      </c>
      <c r="J36" s="8">
        <f t="shared" si="18"/>
        <v>35</v>
      </c>
      <c r="K36" s="15">
        <f t="shared" si="22"/>
        <v>50</v>
      </c>
      <c r="L36" s="15">
        <f>20+N36*5</f>
        <v>20</v>
      </c>
      <c r="M36" s="14">
        <v>300</v>
      </c>
      <c r="N36" s="15">
        <v>0</v>
      </c>
      <c r="O36" s="14">
        <v>0</v>
      </c>
      <c r="P36" s="14">
        <f t="shared" si="19"/>
        <v>65</v>
      </c>
      <c r="Q36" s="14">
        <v>100</v>
      </c>
      <c r="R36" s="14">
        <v>1</v>
      </c>
      <c r="S36" s="14">
        <v>0</v>
      </c>
      <c r="T36" s="14">
        <v>0</v>
      </c>
      <c r="U36" s="10">
        <f t="shared" si="20"/>
        <v>105</v>
      </c>
    </row>
    <row r="37" s="19" customFormat="1" spans="1:21">
      <c r="A37" s="10" t="s">
        <v>293</v>
      </c>
      <c r="B37" s="11">
        <f t="shared" si="15"/>
        <v>55</v>
      </c>
      <c r="C37" s="11">
        <f t="shared" si="21"/>
        <v>20</v>
      </c>
      <c r="D37" s="11">
        <v>600</v>
      </c>
      <c r="E37" s="11">
        <v>0</v>
      </c>
      <c r="F37" s="8">
        <v>0</v>
      </c>
      <c r="G37" s="8">
        <v>100</v>
      </c>
      <c r="H37" s="8">
        <f t="shared" si="17"/>
        <v>100</v>
      </c>
      <c r="I37" s="8">
        <v>0</v>
      </c>
      <c r="J37" s="8">
        <f t="shared" si="18"/>
        <v>15</v>
      </c>
      <c r="K37" s="15">
        <f>45+N37*5</f>
        <v>45</v>
      </c>
      <c r="L37" s="15">
        <f>40+N37*5</f>
        <v>40</v>
      </c>
      <c r="M37" s="14">
        <v>400</v>
      </c>
      <c r="N37" s="15">
        <v>0</v>
      </c>
      <c r="O37" s="14">
        <v>0</v>
      </c>
      <c r="P37" s="14">
        <f t="shared" si="19"/>
        <v>85</v>
      </c>
      <c r="Q37" s="14">
        <v>100</v>
      </c>
      <c r="R37" s="14">
        <v>1</v>
      </c>
      <c r="S37" s="14">
        <v>0</v>
      </c>
      <c r="T37" s="14">
        <v>0</v>
      </c>
      <c r="U37" s="10">
        <f t="shared" si="20"/>
        <v>60</v>
      </c>
    </row>
    <row r="38" s="19" customFormat="1" spans="1:21">
      <c r="A38" s="10" t="s">
        <v>294</v>
      </c>
      <c r="B38" s="11">
        <f t="shared" si="15"/>
        <v>55</v>
      </c>
      <c r="C38" s="11">
        <f t="shared" si="23"/>
        <v>10</v>
      </c>
      <c r="D38" s="11">
        <v>600</v>
      </c>
      <c r="E38" s="11">
        <v>0</v>
      </c>
      <c r="F38" s="8">
        <v>0</v>
      </c>
      <c r="G38" s="8">
        <v>100</v>
      </c>
      <c r="H38" s="8">
        <f t="shared" si="17"/>
        <v>100</v>
      </c>
      <c r="I38" s="8">
        <v>0</v>
      </c>
      <c r="J38" s="8">
        <f t="shared" si="18"/>
        <v>45</v>
      </c>
      <c r="K38" s="15">
        <f>50+N38*5</f>
        <v>50</v>
      </c>
      <c r="L38" s="15">
        <f t="shared" ref="L38:L42" si="24">10+N38*5</f>
        <v>10</v>
      </c>
      <c r="M38" s="14">
        <v>400</v>
      </c>
      <c r="N38" s="15">
        <v>0</v>
      </c>
      <c r="O38" s="14">
        <v>0</v>
      </c>
      <c r="P38" s="14">
        <f t="shared" si="19"/>
        <v>55</v>
      </c>
      <c r="Q38" s="14">
        <v>100</v>
      </c>
      <c r="R38" s="14">
        <v>1</v>
      </c>
      <c r="S38" s="14">
        <v>0</v>
      </c>
      <c r="T38" s="14">
        <v>0</v>
      </c>
      <c r="U38" s="10">
        <f t="shared" si="20"/>
        <v>180</v>
      </c>
    </row>
    <row r="39" s="19" customFormat="1" spans="1:21">
      <c r="A39" s="10" t="s">
        <v>295</v>
      </c>
      <c r="B39" s="11">
        <f t="shared" si="15"/>
        <v>55</v>
      </c>
      <c r="C39" s="11">
        <f t="shared" ref="C39:C44" si="25">20+E39*5</f>
        <v>20</v>
      </c>
      <c r="D39" s="11">
        <v>600</v>
      </c>
      <c r="E39" s="11">
        <v>0</v>
      </c>
      <c r="F39" s="8">
        <v>0</v>
      </c>
      <c r="G39" s="8">
        <v>100</v>
      </c>
      <c r="H39" s="8">
        <f t="shared" si="17"/>
        <v>100</v>
      </c>
      <c r="I39" s="8">
        <v>0</v>
      </c>
      <c r="J39" s="8">
        <f t="shared" si="18"/>
        <v>25</v>
      </c>
      <c r="K39" s="15">
        <f>55+N39*5</f>
        <v>55</v>
      </c>
      <c r="L39" s="15">
        <f>30+N39*5</f>
        <v>30</v>
      </c>
      <c r="M39" s="14">
        <v>500</v>
      </c>
      <c r="N39" s="15">
        <v>0</v>
      </c>
      <c r="O39" s="14">
        <v>0</v>
      </c>
      <c r="P39" s="14">
        <f t="shared" si="19"/>
        <v>75</v>
      </c>
      <c r="Q39" s="14">
        <v>100</v>
      </c>
      <c r="R39" s="14">
        <v>1</v>
      </c>
      <c r="S39" s="14">
        <v>0</v>
      </c>
      <c r="T39" s="14">
        <v>0</v>
      </c>
      <c r="U39" s="10">
        <f t="shared" si="20"/>
        <v>125</v>
      </c>
    </row>
    <row r="40" s="19" customFormat="1" spans="1:21">
      <c r="A40" s="10" t="s">
        <v>296</v>
      </c>
      <c r="B40" s="11">
        <f t="shared" si="15"/>
        <v>55</v>
      </c>
      <c r="C40" s="11">
        <f t="shared" si="23"/>
        <v>10</v>
      </c>
      <c r="D40" s="11">
        <v>600</v>
      </c>
      <c r="E40" s="11">
        <v>0</v>
      </c>
      <c r="F40" s="8">
        <v>0</v>
      </c>
      <c r="G40" s="8">
        <v>100</v>
      </c>
      <c r="H40" s="8">
        <f t="shared" si="17"/>
        <v>100</v>
      </c>
      <c r="I40" s="8">
        <v>0</v>
      </c>
      <c r="J40" s="8">
        <f t="shared" si="18"/>
        <v>45</v>
      </c>
      <c r="K40" s="14">
        <f>70+N40*10</f>
        <v>70</v>
      </c>
      <c r="L40" s="14">
        <f t="shared" si="24"/>
        <v>10</v>
      </c>
      <c r="M40" s="14">
        <v>500</v>
      </c>
      <c r="N40" s="14">
        <v>0</v>
      </c>
      <c r="O40" s="14">
        <v>0</v>
      </c>
      <c r="P40" s="14">
        <f t="shared" si="19"/>
        <v>55</v>
      </c>
      <c r="Q40" s="14">
        <v>100</v>
      </c>
      <c r="R40" s="14">
        <v>1</v>
      </c>
      <c r="S40" s="14">
        <v>0</v>
      </c>
      <c r="T40" s="14">
        <v>0</v>
      </c>
      <c r="U40" s="10">
        <f t="shared" si="20"/>
        <v>225</v>
      </c>
    </row>
    <row r="41" s="19" customFormat="1" spans="1:21">
      <c r="A41" s="10" t="s">
        <v>297</v>
      </c>
      <c r="B41" s="11">
        <f t="shared" si="15"/>
        <v>55</v>
      </c>
      <c r="C41" s="11">
        <f t="shared" si="23"/>
        <v>10</v>
      </c>
      <c r="D41" s="11">
        <v>600</v>
      </c>
      <c r="E41" s="11">
        <v>0</v>
      </c>
      <c r="F41" s="8">
        <v>0</v>
      </c>
      <c r="G41" s="8">
        <v>100</v>
      </c>
      <c r="H41" s="8">
        <f t="shared" si="17"/>
        <v>100</v>
      </c>
      <c r="I41" s="8">
        <v>0</v>
      </c>
      <c r="J41" s="8">
        <f t="shared" si="18"/>
        <v>45</v>
      </c>
      <c r="K41" s="14">
        <f>75+N41*10</f>
        <v>75</v>
      </c>
      <c r="L41" s="14">
        <f t="shared" si="24"/>
        <v>10</v>
      </c>
      <c r="M41" s="14">
        <v>600</v>
      </c>
      <c r="N41" s="15">
        <v>0</v>
      </c>
      <c r="O41" s="14">
        <v>0</v>
      </c>
      <c r="P41" s="14">
        <f t="shared" si="19"/>
        <v>55</v>
      </c>
      <c r="Q41" s="14">
        <v>100</v>
      </c>
      <c r="R41" s="14">
        <v>1</v>
      </c>
      <c r="S41" s="14">
        <v>0</v>
      </c>
      <c r="T41" s="14">
        <v>0</v>
      </c>
      <c r="U41" s="10">
        <f t="shared" si="20"/>
        <v>270</v>
      </c>
    </row>
    <row r="42" s="19" customFormat="1" spans="1:21">
      <c r="A42" s="10" t="s">
        <v>298</v>
      </c>
      <c r="B42" s="11">
        <f t="shared" si="15"/>
        <v>55</v>
      </c>
      <c r="C42" s="11">
        <f t="shared" si="23"/>
        <v>10</v>
      </c>
      <c r="D42" s="11">
        <v>600</v>
      </c>
      <c r="E42" s="11">
        <v>0</v>
      </c>
      <c r="F42" s="8">
        <v>0</v>
      </c>
      <c r="G42" s="8">
        <v>100</v>
      </c>
      <c r="H42" s="8">
        <f t="shared" si="17"/>
        <v>100</v>
      </c>
      <c r="I42" s="8">
        <v>0</v>
      </c>
      <c r="J42" s="8">
        <f>(B42-L42)*(G42/H42)*50%</f>
        <v>22.5</v>
      </c>
      <c r="K42" s="14">
        <f>55+N42*5</f>
        <v>55</v>
      </c>
      <c r="L42" s="14">
        <f t="shared" si="24"/>
        <v>10</v>
      </c>
      <c r="M42" s="14">
        <v>600</v>
      </c>
      <c r="N42" s="14">
        <v>0</v>
      </c>
      <c r="O42" s="14">
        <v>0</v>
      </c>
      <c r="P42" s="14">
        <f t="shared" si="19"/>
        <v>77.5</v>
      </c>
      <c r="Q42" s="14">
        <f>100+N42*25</f>
        <v>100</v>
      </c>
      <c r="R42" s="14">
        <v>1</v>
      </c>
      <c r="S42" s="14">
        <v>0</v>
      </c>
      <c r="T42" s="14">
        <v>0</v>
      </c>
      <c r="U42" s="10">
        <f t="shared" si="20"/>
        <v>135</v>
      </c>
    </row>
    <row r="43" s="19" customFormat="1" spans="1:21">
      <c r="A43" s="10" t="s">
        <v>299</v>
      </c>
      <c r="B43" s="11">
        <f t="shared" si="15"/>
        <v>55</v>
      </c>
      <c r="C43" s="11">
        <f t="shared" si="25"/>
        <v>20</v>
      </c>
      <c r="D43" s="11">
        <v>600</v>
      </c>
      <c r="E43" s="11">
        <v>0</v>
      </c>
      <c r="F43" s="8">
        <v>0</v>
      </c>
      <c r="G43" s="8">
        <v>100</v>
      </c>
      <c r="H43" s="8">
        <f t="shared" si="17"/>
        <v>100</v>
      </c>
      <c r="I43" s="8">
        <v>0</v>
      </c>
      <c r="J43" s="8">
        <f t="shared" ref="J43:J46" si="26">(B43-L43)*(G43/H43)</f>
        <v>35</v>
      </c>
      <c r="K43" s="14">
        <f>55+N43*10</f>
        <v>55</v>
      </c>
      <c r="L43" s="14">
        <f>20+N43*5</f>
        <v>20</v>
      </c>
      <c r="M43" s="14">
        <v>600</v>
      </c>
      <c r="N43" s="15">
        <v>0</v>
      </c>
      <c r="O43" s="14">
        <v>0</v>
      </c>
      <c r="P43" s="14">
        <f t="shared" si="19"/>
        <v>65</v>
      </c>
      <c r="Q43" s="14">
        <f>100+N43*10</f>
        <v>100</v>
      </c>
      <c r="R43" s="14">
        <v>1</v>
      </c>
      <c r="S43" s="14">
        <v>0</v>
      </c>
      <c r="T43" s="14">
        <v>0</v>
      </c>
      <c r="U43" s="10">
        <f t="shared" si="20"/>
        <v>210</v>
      </c>
    </row>
    <row r="44" s="19" customFormat="1" spans="1:21">
      <c r="A44" s="10" t="s">
        <v>300</v>
      </c>
      <c r="B44" s="11">
        <f t="shared" si="15"/>
        <v>55</v>
      </c>
      <c r="C44" s="11">
        <f t="shared" si="25"/>
        <v>20</v>
      </c>
      <c r="D44" s="11">
        <v>600</v>
      </c>
      <c r="E44" s="11">
        <v>0</v>
      </c>
      <c r="F44" s="8">
        <v>0</v>
      </c>
      <c r="G44" s="8">
        <v>100</v>
      </c>
      <c r="H44" s="8">
        <f t="shared" si="17"/>
        <v>100</v>
      </c>
      <c r="I44" s="8">
        <v>0</v>
      </c>
      <c r="J44" s="8">
        <f t="shared" si="26"/>
        <v>25</v>
      </c>
      <c r="K44" s="14">
        <f>40+N44*5</f>
        <v>40</v>
      </c>
      <c r="L44" s="14">
        <f>30+N44*5</f>
        <v>30</v>
      </c>
      <c r="M44" s="14">
        <v>600</v>
      </c>
      <c r="N44" s="14">
        <v>0</v>
      </c>
      <c r="O44" s="14">
        <v>0</v>
      </c>
      <c r="P44" s="14">
        <f t="shared" si="19"/>
        <v>75</v>
      </c>
      <c r="Q44" s="14">
        <v>100</v>
      </c>
      <c r="R44" s="14">
        <v>1</v>
      </c>
      <c r="S44" s="14">
        <v>0</v>
      </c>
      <c r="T44" s="14">
        <v>0</v>
      </c>
      <c r="U44" s="10">
        <f t="shared" si="20"/>
        <v>150</v>
      </c>
    </row>
    <row r="45" s="19" customFormat="1" spans="1:21">
      <c r="A45" s="10" t="s">
        <v>301</v>
      </c>
      <c r="B45" s="11">
        <f t="shared" si="15"/>
        <v>55</v>
      </c>
      <c r="C45" s="11">
        <f t="shared" ref="C45:C49" si="27">10+E45*5</f>
        <v>10</v>
      </c>
      <c r="D45" s="11">
        <v>600</v>
      </c>
      <c r="E45" s="11">
        <v>0</v>
      </c>
      <c r="F45" s="8">
        <v>0</v>
      </c>
      <c r="G45" s="8">
        <v>100</v>
      </c>
      <c r="H45" s="8">
        <f t="shared" si="17"/>
        <v>100</v>
      </c>
      <c r="I45" s="8">
        <v>0</v>
      </c>
      <c r="J45" s="8">
        <f t="shared" si="26"/>
        <v>50</v>
      </c>
      <c r="K45" s="14">
        <f>60+N45*5</f>
        <v>60</v>
      </c>
      <c r="L45" s="14">
        <f>5+N45*5</f>
        <v>5</v>
      </c>
      <c r="M45" s="14">
        <v>800</v>
      </c>
      <c r="N45" s="15">
        <v>0</v>
      </c>
      <c r="O45" s="14">
        <v>0</v>
      </c>
      <c r="P45" s="14">
        <f t="shared" si="19"/>
        <v>50</v>
      </c>
      <c r="Q45" s="14">
        <v>100</v>
      </c>
      <c r="R45" s="14">
        <v>1</v>
      </c>
      <c r="S45" s="14">
        <v>0</v>
      </c>
      <c r="T45" s="14">
        <v>0</v>
      </c>
      <c r="U45" s="10">
        <f t="shared" si="20"/>
        <v>400</v>
      </c>
    </row>
    <row r="46" s="19" customFormat="1" spans="1:21">
      <c r="A46" s="10" t="s">
        <v>302</v>
      </c>
      <c r="B46" s="11">
        <f t="shared" si="15"/>
        <v>55</v>
      </c>
      <c r="C46" s="11">
        <f t="shared" si="27"/>
        <v>10</v>
      </c>
      <c r="D46" s="11">
        <v>600</v>
      </c>
      <c r="E46" s="11">
        <v>0</v>
      </c>
      <c r="F46" s="8">
        <v>0</v>
      </c>
      <c r="G46" s="8">
        <v>100</v>
      </c>
      <c r="H46" s="8">
        <f t="shared" si="17"/>
        <v>100</v>
      </c>
      <c r="I46" s="8">
        <v>0</v>
      </c>
      <c r="J46" s="8">
        <f t="shared" si="26"/>
        <v>45</v>
      </c>
      <c r="K46" s="14">
        <f>60+N46*10</f>
        <v>60</v>
      </c>
      <c r="L46" s="14">
        <f>10+N46*5</f>
        <v>10</v>
      </c>
      <c r="M46" s="14">
        <v>800</v>
      </c>
      <c r="N46" s="14">
        <v>0</v>
      </c>
      <c r="O46" s="14">
        <v>0</v>
      </c>
      <c r="P46" s="14">
        <f t="shared" si="19"/>
        <v>55</v>
      </c>
      <c r="Q46" s="14">
        <v>100</v>
      </c>
      <c r="R46" s="14">
        <v>1</v>
      </c>
      <c r="S46" s="14">
        <v>0</v>
      </c>
      <c r="T46" s="14">
        <v>0</v>
      </c>
      <c r="U46" s="10">
        <f t="shared" si="20"/>
        <v>360</v>
      </c>
    </row>
    <row r="47" s="19" customFormat="1" spans="1:21">
      <c r="A47" s="10" t="s">
        <v>303</v>
      </c>
      <c r="B47" s="11">
        <f t="shared" si="15"/>
        <v>55</v>
      </c>
      <c r="C47" s="11">
        <f>20+E47*5</f>
        <v>20</v>
      </c>
      <c r="D47" s="11">
        <v>600</v>
      </c>
      <c r="E47" s="11">
        <v>0</v>
      </c>
      <c r="F47" s="8">
        <v>0</v>
      </c>
      <c r="G47" s="8">
        <v>100</v>
      </c>
      <c r="H47" s="8">
        <f t="shared" si="17"/>
        <v>100</v>
      </c>
      <c r="I47" s="8">
        <v>0</v>
      </c>
      <c r="J47" s="8">
        <f>(B47-L47)*(G47/H47)*50%</f>
        <v>15</v>
      </c>
      <c r="K47" s="14">
        <f>70+N47*10</f>
        <v>70</v>
      </c>
      <c r="L47" s="14">
        <f>25+N47*5</f>
        <v>25</v>
      </c>
      <c r="M47" s="14">
        <v>1000</v>
      </c>
      <c r="N47" s="15">
        <v>0</v>
      </c>
      <c r="O47" s="14">
        <v>0</v>
      </c>
      <c r="P47" s="14">
        <f t="shared" si="19"/>
        <v>85</v>
      </c>
      <c r="Q47" s="14">
        <v>100</v>
      </c>
      <c r="R47" s="14">
        <v>1</v>
      </c>
      <c r="S47" s="14">
        <v>0</v>
      </c>
      <c r="T47" s="14">
        <v>0</v>
      </c>
      <c r="U47" s="10">
        <f t="shared" si="20"/>
        <v>150</v>
      </c>
    </row>
    <row r="48" s="19" customFormat="1" spans="1:21">
      <c r="A48" s="10" t="s">
        <v>304</v>
      </c>
      <c r="B48" s="11">
        <f t="shared" si="15"/>
        <v>55</v>
      </c>
      <c r="C48" s="11">
        <f t="shared" si="27"/>
        <v>10</v>
      </c>
      <c r="D48" s="11">
        <v>600</v>
      </c>
      <c r="E48" s="11">
        <v>0</v>
      </c>
      <c r="F48" s="8">
        <v>0</v>
      </c>
      <c r="G48" s="8">
        <v>100</v>
      </c>
      <c r="H48" s="8">
        <f t="shared" si="17"/>
        <v>100</v>
      </c>
      <c r="I48" s="8">
        <v>0</v>
      </c>
      <c r="J48" s="8">
        <f t="shared" ref="J48:J51" si="28">(B48-L48)*(G48/H48)</f>
        <v>35</v>
      </c>
      <c r="K48" s="14">
        <f>60+N48*10</f>
        <v>60</v>
      </c>
      <c r="L48" s="14">
        <f>20+N48*5</f>
        <v>20</v>
      </c>
      <c r="M48" s="14">
        <v>600</v>
      </c>
      <c r="N48" s="14">
        <v>0</v>
      </c>
      <c r="O48" s="14">
        <v>0</v>
      </c>
      <c r="P48" s="14">
        <f t="shared" si="19"/>
        <v>65</v>
      </c>
      <c r="Q48" s="14">
        <v>100</v>
      </c>
      <c r="R48" s="14">
        <v>1</v>
      </c>
      <c r="S48" s="14">
        <v>0</v>
      </c>
      <c r="T48" s="14">
        <v>0</v>
      </c>
      <c r="U48" s="10">
        <f t="shared" si="20"/>
        <v>210</v>
      </c>
    </row>
    <row r="49" s="19" customFormat="1" spans="1:21">
      <c r="A49" s="10" t="s">
        <v>305</v>
      </c>
      <c r="B49" s="11">
        <f t="shared" si="15"/>
        <v>55</v>
      </c>
      <c r="C49" s="11">
        <f t="shared" si="27"/>
        <v>10</v>
      </c>
      <c r="D49" s="11">
        <v>600</v>
      </c>
      <c r="E49" s="11">
        <v>0</v>
      </c>
      <c r="F49" s="8">
        <v>0</v>
      </c>
      <c r="G49" s="8">
        <v>100</v>
      </c>
      <c r="H49" s="8">
        <f t="shared" si="17"/>
        <v>100</v>
      </c>
      <c r="I49" s="8">
        <v>0</v>
      </c>
      <c r="J49" s="8">
        <f t="shared" si="28"/>
        <v>50</v>
      </c>
      <c r="K49" s="14">
        <f>40+N49*10</f>
        <v>40</v>
      </c>
      <c r="L49" s="14">
        <f>5+N49*5</f>
        <v>5</v>
      </c>
      <c r="M49" s="14">
        <v>150</v>
      </c>
      <c r="N49" s="15">
        <v>0</v>
      </c>
      <c r="O49" s="14">
        <v>0</v>
      </c>
      <c r="P49" s="14">
        <f t="shared" si="19"/>
        <v>50</v>
      </c>
      <c r="Q49" s="14">
        <v>100</v>
      </c>
      <c r="R49" s="14">
        <v>1</v>
      </c>
      <c r="S49" s="14">
        <v>0</v>
      </c>
      <c r="T49" s="14">
        <v>0</v>
      </c>
      <c r="U49" s="10">
        <f t="shared" si="20"/>
        <v>75</v>
      </c>
    </row>
    <row r="50" spans="1:1">
      <c r="A50" s="21" t="s">
        <v>104</v>
      </c>
    </row>
    <row r="51" s="19" customFormat="1" spans="1:21">
      <c r="A51" s="10" t="s">
        <v>296</v>
      </c>
      <c r="B51" s="11">
        <f>55+E51*10</f>
        <v>55</v>
      </c>
      <c r="C51" s="11">
        <f>10+E51*5</f>
        <v>10</v>
      </c>
      <c r="D51" s="11">
        <v>600</v>
      </c>
      <c r="E51" s="11">
        <v>0</v>
      </c>
      <c r="F51" s="8">
        <v>0</v>
      </c>
      <c r="G51" s="8">
        <v>100</v>
      </c>
      <c r="H51" s="8">
        <f>100+E51*10</f>
        <v>100</v>
      </c>
      <c r="I51" s="8">
        <v>0</v>
      </c>
      <c r="J51" s="8">
        <f t="shared" si="28"/>
        <v>45</v>
      </c>
      <c r="K51" s="14">
        <f>70+N51*10</f>
        <v>70</v>
      </c>
      <c r="L51" s="14">
        <f>10+N51*5</f>
        <v>10</v>
      </c>
      <c r="M51" s="14">
        <v>500</v>
      </c>
      <c r="N51" s="14">
        <v>0</v>
      </c>
      <c r="O51" s="14">
        <v>0</v>
      </c>
      <c r="P51" s="14">
        <f>Q51-J51</f>
        <v>55</v>
      </c>
      <c r="Q51" s="14">
        <v>100</v>
      </c>
      <c r="R51" s="14">
        <v>1</v>
      </c>
      <c r="S51" s="14">
        <v>0</v>
      </c>
      <c r="T51" s="14">
        <f>(K51-C51)*1</f>
        <v>60</v>
      </c>
      <c r="U51" s="10">
        <f>(M51*(N51/3+1)*(J51*R51+S51)-(D51*(E51/3+1))*(T51+I51))/100</f>
        <v>-135</v>
      </c>
    </row>
  </sheetData>
  <mergeCells count="16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B28:J28"/>
    <mergeCell ref="K28:T28"/>
    <mergeCell ref="U5:U6"/>
    <mergeCell ref="U28:U29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zoomScale="90" zoomScaleNormal="90" topLeftCell="A19" workbookViewId="0">
      <selection activeCell="L31" sqref="L31"/>
    </sheetView>
  </sheetViews>
  <sheetFormatPr defaultColWidth="8.89090909090909" defaultRowHeight="15"/>
  <cols>
    <col min="1" max="1" width="18.1090909090909" style="19" customWidth="1"/>
    <col min="2" max="3" width="8.33636363636364" style="19" customWidth="1"/>
    <col min="4" max="7" width="6.10909090909091" style="19" customWidth="1"/>
    <col min="8" max="8" width="8.33636363636364" style="19" customWidth="1"/>
    <col min="9" max="9" width="18.1090909090909" style="19" customWidth="1"/>
    <col min="10" max="10" width="10.6636363636364" style="19" customWidth="1"/>
    <col min="11" max="12" width="8.33636363636364" style="19" customWidth="1"/>
    <col min="13" max="16" width="6.10909090909091" style="19" customWidth="1"/>
    <col min="17" max="17" width="8.33636363636364" style="19" customWidth="1"/>
    <col min="18" max="18" width="10.6636363636364" style="19" customWidth="1"/>
    <col min="19" max="19" width="18.1090909090909" style="19" customWidth="1"/>
    <col min="20" max="21" width="10.6636363636364" style="19" customWidth="1"/>
    <col min="22" max="16384" width="8.89090909090909" style="19"/>
  </cols>
  <sheetData>
    <row r="1" s="19" customForma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9" customForma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="19" customFormat="1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9" customFormat="1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S4" s="1"/>
      <c r="T4" s="16" t="s">
        <v>6</v>
      </c>
      <c r="U4" s="17"/>
    </row>
    <row r="5" s="19" customFormat="1" spans="1:21">
      <c r="A5" s="10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="19" customFormat="1" spans="1:21">
      <c r="A6" s="10" t="s">
        <v>62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="19" customFormat="1" spans="1:21">
      <c r="A7" s="10" t="s">
        <v>306</v>
      </c>
      <c r="B7" s="11">
        <f>40+E7*5</f>
        <v>40</v>
      </c>
      <c r="C7" s="11">
        <f t="shared" ref="C7:C10" si="0">0+E7*5</f>
        <v>0</v>
      </c>
      <c r="D7" s="11">
        <v>600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 t="shared" ref="J7:J26" si="1">(B7-L7)*(G7/H7)</f>
        <v>35</v>
      </c>
      <c r="K7" s="15">
        <f>55+N7*10</f>
        <v>55</v>
      </c>
      <c r="L7" s="15">
        <f>5+N7*5</f>
        <v>5</v>
      </c>
      <c r="M7" s="15">
        <v>150</v>
      </c>
      <c r="N7" s="15">
        <v>0</v>
      </c>
      <c r="O7" s="14">
        <v>0</v>
      </c>
      <c r="P7" s="14">
        <f t="shared" ref="P7:P26" si="2">Q7-J7</f>
        <v>65</v>
      </c>
      <c r="Q7" s="14">
        <v>100</v>
      </c>
      <c r="R7" s="14">
        <v>1</v>
      </c>
      <c r="S7" s="14">
        <v>0</v>
      </c>
      <c r="T7" s="14">
        <f t="shared" ref="T7:T9" si="3">(K7-C7)*(P7/Q7)</f>
        <v>35.75</v>
      </c>
      <c r="U7" s="10">
        <f t="shared" ref="U7:U26" si="4">(M7*(N7/3+1)*(J7*R7+S7)-(D7*(E7/3+1))*(T7+I7))/100</f>
        <v>-162</v>
      </c>
    </row>
    <row r="8" s="19" customFormat="1" spans="1:21">
      <c r="A8" s="10" t="s">
        <v>307</v>
      </c>
      <c r="B8" s="11">
        <f t="shared" ref="B8:B26" si="5">40+E8*5</f>
        <v>40</v>
      </c>
      <c r="C8" s="11">
        <f t="shared" ref="C8:C14" si="6">30+E8*5</f>
        <v>30</v>
      </c>
      <c r="D8" s="11">
        <v>600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si="1"/>
        <v>25</v>
      </c>
      <c r="K8" s="15">
        <f t="shared" ref="K8:K13" si="7">50+N8*10</f>
        <v>50</v>
      </c>
      <c r="L8" s="15">
        <f>15+N8*5</f>
        <v>15</v>
      </c>
      <c r="M8" s="14">
        <v>200</v>
      </c>
      <c r="N8" s="15">
        <v>0</v>
      </c>
      <c r="O8" s="14">
        <v>0</v>
      </c>
      <c r="P8" s="14">
        <f t="shared" si="2"/>
        <v>75</v>
      </c>
      <c r="Q8" s="14">
        <v>100</v>
      </c>
      <c r="R8" s="14">
        <v>1</v>
      </c>
      <c r="S8" s="14">
        <v>0</v>
      </c>
      <c r="T8" s="14">
        <f t="shared" si="3"/>
        <v>15</v>
      </c>
      <c r="U8" s="10">
        <f t="shared" si="4"/>
        <v>-40</v>
      </c>
    </row>
    <row r="9" s="19" customFormat="1" spans="1:21">
      <c r="A9" s="10" t="s">
        <v>308</v>
      </c>
      <c r="B9" s="11">
        <f t="shared" si="5"/>
        <v>40</v>
      </c>
      <c r="C9" s="11">
        <f t="shared" si="0"/>
        <v>0</v>
      </c>
      <c r="D9" s="11">
        <v>600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1"/>
        <v>40</v>
      </c>
      <c r="K9" s="15">
        <f>40+N9*10</f>
        <v>40</v>
      </c>
      <c r="L9" s="15">
        <f>0+N9*5</f>
        <v>0</v>
      </c>
      <c r="M9" s="14">
        <v>200</v>
      </c>
      <c r="N9" s="15">
        <v>0</v>
      </c>
      <c r="O9" s="14">
        <v>0</v>
      </c>
      <c r="P9" s="14">
        <f t="shared" si="2"/>
        <v>60</v>
      </c>
      <c r="Q9" s="14">
        <v>100</v>
      </c>
      <c r="R9" s="14">
        <v>1</v>
      </c>
      <c r="S9" s="14">
        <v>0</v>
      </c>
      <c r="T9" s="14">
        <f t="shared" si="3"/>
        <v>24</v>
      </c>
      <c r="U9" s="10">
        <f t="shared" si="4"/>
        <v>-64</v>
      </c>
    </row>
    <row r="10" s="19" customFormat="1" spans="1:21">
      <c r="A10" s="10" t="s">
        <v>309</v>
      </c>
      <c r="B10" s="11">
        <f t="shared" si="5"/>
        <v>40</v>
      </c>
      <c r="C10" s="11">
        <f t="shared" si="0"/>
        <v>0</v>
      </c>
      <c r="D10" s="11">
        <v>600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1"/>
        <v>35</v>
      </c>
      <c r="K10" s="15">
        <f>45+N10*10</f>
        <v>45</v>
      </c>
      <c r="L10" s="15">
        <f>5+N10*5</f>
        <v>5</v>
      </c>
      <c r="M10" s="14">
        <v>250</v>
      </c>
      <c r="N10" s="15">
        <v>0</v>
      </c>
      <c r="O10" s="14">
        <v>0</v>
      </c>
      <c r="P10" s="14">
        <f t="shared" si="2"/>
        <v>65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4"/>
        <v>87.5</v>
      </c>
    </row>
    <row r="11" s="19" customFormat="1" spans="1:21">
      <c r="A11" s="10" t="s">
        <v>310</v>
      </c>
      <c r="B11" s="11">
        <f t="shared" si="5"/>
        <v>40</v>
      </c>
      <c r="C11" s="11">
        <f t="shared" si="6"/>
        <v>30</v>
      </c>
      <c r="D11" s="11">
        <v>600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1"/>
        <v>50</v>
      </c>
      <c r="K11" s="15">
        <f t="shared" si="7"/>
        <v>50</v>
      </c>
      <c r="L11" s="15">
        <f>-10+N11*5</f>
        <v>-10</v>
      </c>
      <c r="M11" s="14">
        <v>250</v>
      </c>
      <c r="N11" s="15">
        <v>0</v>
      </c>
      <c r="O11" s="14">
        <v>0</v>
      </c>
      <c r="P11" s="14">
        <f t="shared" si="2"/>
        <v>50</v>
      </c>
      <c r="Q11" s="14">
        <f>100+N11*5</f>
        <v>100</v>
      </c>
      <c r="R11" s="14">
        <v>1</v>
      </c>
      <c r="S11" s="14">
        <v>0</v>
      </c>
      <c r="T11" s="14">
        <f t="shared" ref="T11:T16" si="8">(K11-C11)*(P11/Q11)</f>
        <v>10</v>
      </c>
      <c r="U11" s="10">
        <f t="shared" si="4"/>
        <v>65</v>
      </c>
    </row>
    <row r="12" s="19" customFormat="1" spans="1:21">
      <c r="A12" s="10" t="s">
        <v>311</v>
      </c>
      <c r="B12" s="11">
        <f t="shared" si="5"/>
        <v>40</v>
      </c>
      <c r="C12" s="11">
        <f t="shared" ref="C12:C19" si="9">0+E12*5</f>
        <v>0</v>
      </c>
      <c r="D12" s="11">
        <v>600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1"/>
        <v>25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2"/>
        <v>75</v>
      </c>
      <c r="Q12" s="14">
        <v>100</v>
      </c>
      <c r="R12" s="14">
        <v>1</v>
      </c>
      <c r="S12" s="14">
        <v>0</v>
      </c>
      <c r="T12" s="14">
        <f t="shared" si="8"/>
        <v>45</v>
      </c>
      <c r="U12" s="10">
        <f t="shared" si="4"/>
        <v>-195</v>
      </c>
    </row>
    <row r="13" s="19" customFormat="1" spans="1:21">
      <c r="A13" s="10" t="s">
        <v>312</v>
      </c>
      <c r="B13" s="11">
        <f t="shared" si="5"/>
        <v>40</v>
      </c>
      <c r="C13" s="11">
        <f t="shared" si="6"/>
        <v>30</v>
      </c>
      <c r="D13" s="11">
        <v>600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1"/>
        <v>20</v>
      </c>
      <c r="K13" s="15">
        <f t="shared" si="7"/>
        <v>50</v>
      </c>
      <c r="L13" s="15">
        <f>20+N13*5</f>
        <v>20</v>
      </c>
      <c r="M13" s="14">
        <v>300</v>
      </c>
      <c r="N13" s="15">
        <v>0</v>
      </c>
      <c r="O13" s="14">
        <v>0</v>
      </c>
      <c r="P13" s="14">
        <f t="shared" si="2"/>
        <v>80</v>
      </c>
      <c r="Q13" s="14">
        <v>100</v>
      </c>
      <c r="R13" s="14">
        <v>1</v>
      </c>
      <c r="S13" s="14">
        <v>0</v>
      </c>
      <c r="T13" s="14">
        <f t="shared" si="8"/>
        <v>16</v>
      </c>
      <c r="U13" s="10">
        <f t="shared" si="4"/>
        <v>-36</v>
      </c>
    </row>
    <row r="14" s="19" customFormat="1" spans="1:21">
      <c r="A14" s="10" t="s">
        <v>313</v>
      </c>
      <c r="B14" s="11">
        <f t="shared" si="5"/>
        <v>40</v>
      </c>
      <c r="C14" s="11">
        <f t="shared" si="6"/>
        <v>30</v>
      </c>
      <c r="D14" s="11">
        <v>600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1"/>
        <v>0</v>
      </c>
      <c r="K14" s="15">
        <f>45+N14*5</f>
        <v>45</v>
      </c>
      <c r="L14" s="15">
        <f>40+N14*5</f>
        <v>40</v>
      </c>
      <c r="M14" s="14">
        <v>400</v>
      </c>
      <c r="N14" s="15">
        <v>0</v>
      </c>
      <c r="O14" s="14">
        <v>0</v>
      </c>
      <c r="P14" s="14">
        <f t="shared" si="2"/>
        <v>100</v>
      </c>
      <c r="Q14" s="14">
        <v>100</v>
      </c>
      <c r="R14" s="14">
        <v>1</v>
      </c>
      <c r="S14" s="14">
        <v>0</v>
      </c>
      <c r="T14" s="14">
        <f t="shared" si="8"/>
        <v>15</v>
      </c>
      <c r="U14" s="10">
        <f t="shared" si="4"/>
        <v>-90</v>
      </c>
    </row>
    <row r="15" s="19" customFormat="1" spans="1:21">
      <c r="A15" s="10" t="s">
        <v>314</v>
      </c>
      <c r="B15" s="11">
        <f t="shared" si="5"/>
        <v>40</v>
      </c>
      <c r="C15" s="11">
        <f t="shared" si="9"/>
        <v>0</v>
      </c>
      <c r="D15" s="11">
        <v>600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1"/>
        <v>30</v>
      </c>
      <c r="K15" s="15">
        <f>50+N15*5</f>
        <v>50</v>
      </c>
      <c r="L15" s="15">
        <f t="shared" ref="L15:L19" si="10">10+N15*5</f>
        <v>10</v>
      </c>
      <c r="M15" s="14">
        <v>400</v>
      </c>
      <c r="N15" s="15">
        <v>0</v>
      </c>
      <c r="O15" s="14">
        <v>0</v>
      </c>
      <c r="P15" s="14">
        <f t="shared" si="2"/>
        <v>70</v>
      </c>
      <c r="Q15" s="14">
        <v>100</v>
      </c>
      <c r="R15" s="14">
        <v>1</v>
      </c>
      <c r="S15" s="14">
        <v>0</v>
      </c>
      <c r="T15" s="14">
        <f t="shared" si="8"/>
        <v>35</v>
      </c>
      <c r="U15" s="10">
        <f t="shared" si="4"/>
        <v>-90</v>
      </c>
    </row>
    <row r="16" s="19" customFormat="1" spans="1:21">
      <c r="A16" s="10" t="s">
        <v>315</v>
      </c>
      <c r="B16" s="11">
        <f t="shared" si="5"/>
        <v>40</v>
      </c>
      <c r="C16" s="11">
        <f t="shared" ref="C16:C21" si="11">30+E16*5</f>
        <v>30</v>
      </c>
      <c r="D16" s="11">
        <v>600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1"/>
        <v>10</v>
      </c>
      <c r="K16" s="15">
        <f>55+N16*5</f>
        <v>55</v>
      </c>
      <c r="L16" s="15">
        <f>30+N16*5</f>
        <v>30</v>
      </c>
      <c r="M16" s="14">
        <v>500</v>
      </c>
      <c r="N16" s="15">
        <v>0</v>
      </c>
      <c r="O16" s="14">
        <v>0</v>
      </c>
      <c r="P16" s="14">
        <f t="shared" si="2"/>
        <v>90</v>
      </c>
      <c r="Q16" s="14">
        <v>100</v>
      </c>
      <c r="R16" s="14">
        <v>1</v>
      </c>
      <c r="S16" s="14">
        <v>0</v>
      </c>
      <c r="T16" s="14">
        <f t="shared" si="8"/>
        <v>22.5</v>
      </c>
      <c r="U16" s="10">
        <f t="shared" si="4"/>
        <v>-85</v>
      </c>
    </row>
    <row r="17" s="19" customFormat="1" spans="1:21">
      <c r="A17" s="10" t="s">
        <v>316</v>
      </c>
      <c r="B17" s="11">
        <f t="shared" si="5"/>
        <v>40</v>
      </c>
      <c r="C17" s="11">
        <f t="shared" si="9"/>
        <v>0</v>
      </c>
      <c r="D17" s="11">
        <v>600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1"/>
        <v>30</v>
      </c>
      <c r="K17" s="14">
        <f>70+N17*10</f>
        <v>70</v>
      </c>
      <c r="L17" s="14">
        <f t="shared" si="10"/>
        <v>10</v>
      </c>
      <c r="M17" s="14">
        <v>500</v>
      </c>
      <c r="N17" s="14">
        <v>0</v>
      </c>
      <c r="O17" s="14">
        <v>0</v>
      </c>
      <c r="P17" s="14">
        <f t="shared" si="2"/>
        <v>70</v>
      </c>
      <c r="Q17" s="14">
        <v>100</v>
      </c>
      <c r="R17" s="14">
        <v>1</v>
      </c>
      <c r="S17" s="14">
        <v>0</v>
      </c>
      <c r="T17" s="14">
        <f>(K17-C17)*1</f>
        <v>70</v>
      </c>
      <c r="U17" s="10">
        <f t="shared" si="4"/>
        <v>-270</v>
      </c>
    </row>
    <row r="18" s="19" customFormat="1" spans="1:21">
      <c r="A18" s="10" t="s">
        <v>317</v>
      </c>
      <c r="B18" s="11">
        <f t="shared" si="5"/>
        <v>40</v>
      </c>
      <c r="C18" s="11">
        <f t="shared" si="9"/>
        <v>0</v>
      </c>
      <c r="D18" s="11">
        <v>600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1"/>
        <v>30</v>
      </c>
      <c r="K18" s="14">
        <f>75+N18*10</f>
        <v>75</v>
      </c>
      <c r="L18" s="14">
        <f t="shared" si="10"/>
        <v>10</v>
      </c>
      <c r="M18" s="14">
        <v>600</v>
      </c>
      <c r="N18" s="15">
        <v>0</v>
      </c>
      <c r="O18" s="14">
        <v>0</v>
      </c>
      <c r="P18" s="14">
        <f t="shared" si="2"/>
        <v>70</v>
      </c>
      <c r="Q18" s="14">
        <v>100</v>
      </c>
      <c r="R18" s="14">
        <v>1</v>
      </c>
      <c r="S18" s="14">
        <v>0</v>
      </c>
      <c r="T18" s="14">
        <f t="shared" ref="T18:T21" si="12">(K18-C18)*(P18/Q18)</f>
        <v>52.5</v>
      </c>
      <c r="U18" s="10">
        <f t="shared" si="4"/>
        <v>-135</v>
      </c>
    </row>
    <row r="19" s="19" customFormat="1" spans="1:21">
      <c r="A19" s="10" t="s">
        <v>318</v>
      </c>
      <c r="B19" s="11">
        <f t="shared" si="5"/>
        <v>40</v>
      </c>
      <c r="C19" s="11">
        <f t="shared" si="9"/>
        <v>0</v>
      </c>
      <c r="D19" s="11">
        <v>600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1"/>
        <v>30</v>
      </c>
      <c r="K19" s="14">
        <f>55+N19*5</f>
        <v>55</v>
      </c>
      <c r="L19" s="14">
        <f t="shared" si="10"/>
        <v>10</v>
      </c>
      <c r="M19" s="14">
        <v>600</v>
      </c>
      <c r="N19" s="14">
        <v>0</v>
      </c>
      <c r="O19" s="14">
        <v>0</v>
      </c>
      <c r="P19" s="14">
        <f t="shared" si="2"/>
        <v>70</v>
      </c>
      <c r="Q19" s="14">
        <f>100+N19*25</f>
        <v>100</v>
      </c>
      <c r="R19" s="14">
        <v>1</v>
      </c>
      <c r="S19" s="14">
        <v>0</v>
      </c>
      <c r="T19" s="14">
        <f t="shared" si="12"/>
        <v>38.5</v>
      </c>
      <c r="U19" s="10">
        <f t="shared" si="4"/>
        <v>-51</v>
      </c>
    </row>
    <row r="20" s="19" customFormat="1" spans="1:21">
      <c r="A20" s="10" t="s">
        <v>319</v>
      </c>
      <c r="B20" s="11">
        <f t="shared" si="5"/>
        <v>40</v>
      </c>
      <c r="C20" s="11">
        <f t="shared" si="11"/>
        <v>30</v>
      </c>
      <c r="D20" s="11">
        <v>600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1"/>
        <v>20</v>
      </c>
      <c r="K20" s="14">
        <f>55+N20*10</f>
        <v>55</v>
      </c>
      <c r="L20" s="14">
        <f>20+N20*5</f>
        <v>20</v>
      </c>
      <c r="M20" s="14">
        <v>600</v>
      </c>
      <c r="N20" s="15">
        <v>0</v>
      </c>
      <c r="O20" s="14">
        <v>0</v>
      </c>
      <c r="P20" s="14">
        <f t="shared" si="2"/>
        <v>80</v>
      </c>
      <c r="Q20" s="14">
        <f>100+N20*10</f>
        <v>100</v>
      </c>
      <c r="R20" s="14">
        <v>1</v>
      </c>
      <c r="S20" s="14">
        <v>0</v>
      </c>
      <c r="T20" s="14">
        <f t="shared" si="12"/>
        <v>20</v>
      </c>
      <c r="U20" s="10">
        <f t="shared" si="4"/>
        <v>0</v>
      </c>
    </row>
    <row r="21" s="19" customFormat="1" spans="1:21">
      <c r="A21" s="10" t="s">
        <v>320</v>
      </c>
      <c r="B21" s="11">
        <f t="shared" si="5"/>
        <v>40</v>
      </c>
      <c r="C21" s="11">
        <f t="shared" si="11"/>
        <v>30</v>
      </c>
      <c r="D21" s="11">
        <v>600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1"/>
        <v>10</v>
      </c>
      <c r="K21" s="14">
        <f>40+N21*5</f>
        <v>40</v>
      </c>
      <c r="L21" s="14">
        <f>30+N21*5</f>
        <v>30</v>
      </c>
      <c r="M21" s="14">
        <v>600</v>
      </c>
      <c r="N21" s="14">
        <v>0</v>
      </c>
      <c r="O21" s="14">
        <v>0</v>
      </c>
      <c r="P21" s="14">
        <f t="shared" si="2"/>
        <v>90</v>
      </c>
      <c r="Q21" s="14">
        <v>100</v>
      </c>
      <c r="R21" s="14">
        <v>1</v>
      </c>
      <c r="S21" s="14">
        <v>0</v>
      </c>
      <c r="T21" s="14">
        <f t="shared" si="12"/>
        <v>9</v>
      </c>
      <c r="U21" s="10">
        <f t="shared" si="4"/>
        <v>6</v>
      </c>
    </row>
    <row r="22" s="19" customFormat="1" spans="1:21">
      <c r="A22" s="10" t="s">
        <v>321</v>
      </c>
      <c r="B22" s="11">
        <f t="shared" si="5"/>
        <v>40</v>
      </c>
      <c r="C22" s="11">
        <f t="shared" ref="C22:C26" si="13">0+E22*5</f>
        <v>0</v>
      </c>
      <c r="D22" s="11">
        <v>600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1"/>
        <v>35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2"/>
        <v>65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4"/>
        <v>280</v>
      </c>
    </row>
    <row r="23" s="19" customFormat="1" spans="1:21">
      <c r="A23" s="10" t="s">
        <v>322</v>
      </c>
      <c r="B23" s="11">
        <f t="shared" si="5"/>
        <v>40</v>
      </c>
      <c r="C23" s="11">
        <f t="shared" si="13"/>
        <v>0</v>
      </c>
      <c r="D23" s="11">
        <v>600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1"/>
        <v>30</v>
      </c>
      <c r="K23" s="14">
        <f>60+N23*10</f>
        <v>60</v>
      </c>
      <c r="L23" s="14">
        <f>10+N23*5</f>
        <v>10</v>
      </c>
      <c r="M23" s="14">
        <v>800</v>
      </c>
      <c r="N23" s="14">
        <v>0</v>
      </c>
      <c r="O23" s="14">
        <v>0</v>
      </c>
      <c r="P23" s="14">
        <f t="shared" si="2"/>
        <v>70</v>
      </c>
      <c r="Q23" s="14">
        <v>100</v>
      </c>
      <c r="R23" s="14">
        <v>1</v>
      </c>
      <c r="S23" s="14">
        <v>0</v>
      </c>
      <c r="T23" s="14">
        <f>(K23+10-C23)*(P23/Q23)</f>
        <v>49</v>
      </c>
      <c r="U23" s="10">
        <f t="shared" si="4"/>
        <v>-54</v>
      </c>
    </row>
    <row r="24" s="19" customFormat="1" spans="1:21">
      <c r="A24" s="10" t="s">
        <v>323</v>
      </c>
      <c r="B24" s="11">
        <f t="shared" si="5"/>
        <v>40</v>
      </c>
      <c r="C24" s="11">
        <f>30+E24*5</f>
        <v>30</v>
      </c>
      <c r="D24" s="11">
        <v>600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1"/>
        <v>15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2"/>
        <v>85</v>
      </c>
      <c r="Q24" s="14">
        <v>100</v>
      </c>
      <c r="R24" s="14">
        <v>1</v>
      </c>
      <c r="S24" s="14">
        <v>0</v>
      </c>
      <c r="T24" s="14">
        <f>(K24-C24)*(P24/Q24)*1.5</f>
        <v>51</v>
      </c>
      <c r="U24" s="10">
        <f t="shared" si="4"/>
        <v>-156</v>
      </c>
    </row>
    <row r="25" s="19" customFormat="1" spans="1:21">
      <c r="A25" s="10" t="s">
        <v>324</v>
      </c>
      <c r="B25" s="11">
        <f t="shared" si="5"/>
        <v>40</v>
      </c>
      <c r="C25" s="11">
        <f t="shared" si="13"/>
        <v>0</v>
      </c>
      <c r="D25" s="11">
        <v>600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1"/>
        <v>20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2"/>
        <v>80</v>
      </c>
      <c r="Q25" s="14">
        <v>100</v>
      </c>
      <c r="R25" s="14">
        <v>1</v>
      </c>
      <c r="S25" s="14">
        <v>0</v>
      </c>
      <c r="T25" s="14">
        <f>(K25-C25)*(P25/Q25)</f>
        <v>48</v>
      </c>
      <c r="U25" s="10">
        <f t="shared" si="4"/>
        <v>-168</v>
      </c>
    </row>
    <row r="26" s="19" customFormat="1" spans="1:21">
      <c r="A26" s="10" t="s">
        <v>325</v>
      </c>
      <c r="B26" s="11">
        <f t="shared" si="5"/>
        <v>40</v>
      </c>
      <c r="C26" s="11">
        <f t="shared" si="13"/>
        <v>0</v>
      </c>
      <c r="D26" s="11">
        <v>600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1"/>
        <v>35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2"/>
        <v>65</v>
      </c>
      <c r="Q26" s="14">
        <v>100</v>
      </c>
      <c r="R26" s="14">
        <v>1</v>
      </c>
      <c r="S26" s="14">
        <v>0</v>
      </c>
      <c r="T26" s="14">
        <f>(K26-C26)*(P26/Q26)</f>
        <v>26</v>
      </c>
      <c r="U26" s="10">
        <f t="shared" si="4"/>
        <v>-103.5</v>
      </c>
    </row>
    <row r="27" s="19" customFormat="1" spans="1:1">
      <c r="A27" s="20"/>
    </row>
    <row r="28" s="19" customFormat="1" spans="1:21">
      <c r="A28" s="10" t="s">
        <v>7</v>
      </c>
      <c r="B28" s="8" t="s">
        <v>8</v>
      </c>
      <c r="C28" s="8"/>
      <c r="D28" s="8"/>
      <c r="E28" s="8"/>
      <c r="F28" s="8"/>
      <c r="G28" s="8"/>
      <c r="H28" s="8"/>
      <c r="I28" s="8"/>
      <c r="J28" s="8"/>
      <c r="K28" s="14" t="s">
        <v>9</v>
      </c>
      <c r="L28" s="14"/>
      <c r="M28" s="14"/>
      <c r="N28" s="14"/>
      <c r="O28" s="14"/>
      <c r="P28" s="14"/>
      <c r="Q28" s="14"/>
      <c r="R28" s="14"/>
      <c r="S28" s="14"/>
      <c r="T28" s="18"/>
      <c r="U28" s="10" t="s">
        <v>10</v>
      </c>
    </row>
    <row r="29" s="19" customFormat="1" spans="1:21">
      <c r="A29" s="10" t="s">
        <v>83</v>
      </c>
      <c r="B29" s="8" t="s">
        <v>11</v>
      </c>
      <c r="C29" s="8" t="s">
        <v>12</v>
      </c>
      <c r="D29" s="8" t="s">
        <v>13</v>
      </c>
      <c r="E29" s="8" t="s">
        <v>14</v>
      </c>
      <c r="F29" s="8" t="s">
        <v>15</v>
      </c>
      <c r="G29" s="8" t="s">
        <v>16</v>
      </c>
      <c r="H29" s="8" t="s">
        <v>17</v>
      </c>
      <c r="I29" s="8" t="s">
        <v>18</v>
      </c>
      <c r="J29" s="8" t="s">
        <v>19</v>
      </c>
      <c r="K29" s="14" t="s">
        <v>11</v>
      </c>
      <c r="L29" s="14" t="s">
        <v>12</v>
      </c>
      <c r="M29" s="14" t="s">
        <v>13</v>
      </c>
      <c r="N29" s="14" t="s">
        <v>14</v>
      </c>
      <c r="O29" s="14" t="s">
        <v>15</v>
      </c>
      <c r="P29" s="14" t="s">
        <v>16</v>
      </c>
      <c r="Q29" s="14" t="s">
        <v>17</v>
      </c>
      <c r="R29" s="14" t="s">
        <v>20</v>
      </c>
      <c r="S29" s="14" t="s">
        <v>18</v>
      </c>
      <c r="T29" s="18" t="s">
        <v>21</v>
      </c>
      <c r="U29" s="10"/>
    </row>
    <row r="30" s="19" customFormat="1" spans="1:21">
      <c r="A30" s="10" t="s">
        <v>306</v>
      </c>
      <c r="B30" s="11">
        <f t="shared" ref="B30:B49" si="14">40+E30*5</f>
        <v>40</v>
      </c>
      <c r="C30" s="11">
        <f t="shared" ref="C30:C33" si="15">0+E30*5</f>
        <v>0</v>
      </c>
      <c r="D30" s="11">
        <v>600</v>
      </c>
      <c r="E30" s="11">
        <v>0</v>
      </c>
      <c r="F30" s="8">
        <v>0</v>
      </c>
      <c r="G30" s="8">
        <v>100</v>
      </c>
      <c r="H30" s="8">
        <v>100</v>
      </c>
      <c r="I30" s="8">
        <v>0</v>
      </c>
      <c r="J30" s="8">
        <f t="shared" ref="J30:J41" si="16">(B30-L30)*(G30/H30)</f>
        <v>35</v>
      </c>
      <c r="K30" s="15">
        <f>55+N30*10</f>
        <v>55</v>
      </c>
      <c r="L30" s="15">
        <f>5+N30*5</f>
        <v>5</v>
      </c>
      <c r="M30" s="15">
        <v>150</v>
      </c>
      <c r="N30" s="15">
        <v>0</v>
      </c>
      <c r="O30" s="14">
        <v>0</v>
      </c>
      <c r="P30" s="14">
        <f t="shared" ref="P30:P49" si="17">Q30-J30</f>
        <v>65</v>
      </c>
      <c r="Q30" s="14">
        <v>100</v>
      </c>
      <c r="R30" s="14">
        <v>1</v>
      </c>
      <c r="S30" s="14">
        <v>0</v>
      </c>
      <c r="T30" s="14">
        <v>0</v>
      </c>
      <c r="U30" s="10">
        <f t="shared" ref="U30:U49" si="18">(M30*(N30/3+1)*(J30*R30+S30)-(D30*(E30/3+1))*(T30+I30))/100</f>
        <v>52.5</v>
      </c>
    </row>
    <row r="31" s="19" customFormat="1" spans="1:21">
      <c r="A31" s="10" t="s">
        <v>307</v>
      </c>
      <c r="B31" s="11">
        <f t="shared" si="14"/>
        <v>40</v>
      </c>
      <c r="C31" s="11">
        <f t="shared" ref="C31:C37" si="19">30+E31*5</f>
        <v>30</v>
      </c>
      <c r="D31" s="11">
        <v>600</v>
      </c>
      <c r="E31" s="11">
        <v>0</v>
      </c>
      <c r="F31" s="8">
        <v>0</v>
      </c>
      <c r="G31" s="8">
        <v>100</v>
      </c>
      <c r="H31" s="8">
        <v>100</v>
      </c>
      <c r="I31" s="8">
        <v>0</v>
      </c>
      <c r="J31" s="8">
        <f t="shared" si="16"/>
        <v>25</v>
      </c>
      <c r="K31" s="15">
        <f t="shared" ref="K31:K36" si="20">50+N31*10</f>
        <v>50</v>
      </c>
      <c r="L31" s="15">
        <f>15+N31*5</f>
        <v>15</v>
      </c>
      <c r="M31" s="14">
        <v>200</v>
      </c>
      <c r="N31" s="15">
        <v>0</v>
      </c>
      <c r="O31" s="14">
        <v>0</v>
      </c>
      <c r="P31" s="14">
        <f t="shared" si="17"/>
        <v>75</v>
      </c>
      <c r="Q31" s="14">
        <v>100</v>
      </c>
      <c r="R31" s="14">
        <v>1</v>
      </c>
      <c r="S31" s="14">
        <v>0</v>
      </c>
      <c r="T31" s="14">
        <v>0</v>
      </c>
      <c r="U31" s="10">
        <f t="shared" si="18"/>
        <v>50</v>
      </c>
    </row>
    <row r="32" s="19" customFormat="1" spans="1:21">
      <c r="A32" s="10" t="s">
        <v>308</v>
      </c>
      <c r="B32" s="11">
        <f t="shared" si="14"/>
        <v>40</v>
      </c>
      <c r="C32" s="11">
        <f t="shared" si="15"/>
        <v>0</v>
      </c>
      <c r="D32" s="11">
        <v>600</v>
      </c>
      <c r="E32" s="11">
        <v>0</v>
      </c>
      <c r="F32" s="8">
        <v>0</v>
      </c>
      <c r="G32" s="8">
        <v>100</v>
      </c>
      <c r="H32" s="8">
        <v>100</v>
      </c>
      <c r="I32" s="8">
        <v>0</v>
      </c>
      <c r="J32" s="8">
        <f t="shared" si="16"/>
        <v>40</v>
      </c>
      <c r="K32" s="15">
        <f>40+N32*10</f>
        <v>40</v>
      </c>
      <c r="L32" s="15">
        <f>0+N32*5</f>
        <v>0</v>
      </c>
      <c r="M32" s="14">
        <v>200</v>
      </c>
      <c r="N32" s="15">
        <v>0</v>
      </c>
      <c r="O32" s="14">
        <v>0</v>
      </c>
      <c r="P32" s="14">
        <f t="shared" si="17"/>
        <v>60</v>
      </c>
      <c r="Q32" s="14">
        <v>100</v>
      </c>
      <c r="R32" s="14">
        <v>1</v>
      </c>
      <c r="S32" s="14">
        <v>0</v>
      </c>
      <c r="T32" s="14">
        <v>0</v>
      </c>
      <c r="U32" s="10">
        <f t="shared" si="18"/>
        <v>80</v>
      </c>
    </row>
    <row r="33" s="19" customFormat="1" spans="1:21">
      <c r="A33" s="10" t="s">
        <v>309</v>
      </c>
      <c r="B33" s="11">
        <f t="shared" si="14"/>
        <v>40</v>
      </c>
      <c r="C33" s="11">
        <f t="shared" si="15"/>
        <v>0</v>
      </c>
      <c r="D33" s="11">
        <v>600</v>
      </c>
      <c r="E33" s="11">
        <v>0</v>
      </c>
      <c r="F33" s="8">
        <v>0</v>
      </c>
      <c r="G33" s="8">
        <v>100</v>
      </c>
      <c r="H33" s="8">
        <v>100</v>
      </c>
      <c r="I33" s="8">
        <v>0</v>
      </c>
      <c r="J33" s="8">
        <f t="shared" si="16"/>
        <v>35</v>
      </c>
      <c r="K33" s="15">
        <f>45+N33*10</f>
        <v>45</v>
      </c>
      <c r="L33" s="15">
        <f>5+N33*5</f>
        <v>5</v>
      </c>
      <c r="M33" s="14">
        <v>250</v>
      </c>
      <c r="N33" s="15">
        <v>0</v>
      </c>
      <c r="O33" s="14">
        <v>0</v>
      </c>
      <c r="P33" s="14">
        <f t="shared" si="17"/>
        <v>65</v>
      </c>
      <c r="Q33" s="14">
        <v>100</v>
      </c>
      <c r="R33" s="14">
        <v>1</v>
      </c>
      <c r="S33" s="14">
        <v>0</v>
      </c>
      <c r="T33" s="14">
        <v>0</v>
      </c>
      <c r="U33" s="10">
        <f t="shared" si="18"/>
        <v>87.5</v>
      </c>
    </row>
    <row r="34" s="19" customFormat="1" spans="1:21">
      <c r="A34" s="10" t="s">
        <v>310</v>
      </c>
      <c r="B34" s="11">
        <f t="shared" si="14"/>
        <v>40</v>
      </c>
      <c r="C34" s="11">
        <f t="shared" si="19"/>
        <v>30</v>
      </c>
      <c r="D34" s="11">
        <v>600</v>
      </c>
      <c r="E34" s="11">
        <v>0</v>
      </c>
      <c r="F34" s="8">
        <v>0</v>
      </c>
      <c r="G34" s="8">
        <v>100</v>
      </c>
      <c r="H34" s="8">
        <v>100</v>
      </c>
      <c r="I34" s="8">
        <v>0</v>
      </c>
      <c r="J34" s="8">
        <f t="shared" si="16"/>
        <v>50</v>
      </c>
      <c r="K34" s="15">
        <f t="shared" si="20"/>
        <v>50</v>
      </c>
      <c r="L34" s="15">
        <f>-10+N34*5</f>
        <v>-10</v>
      </c>
      <c r="M34" s="14">
        <v>250</v>
      </c>
      <c r="N34" s="15">
        <v>0</v>
      </c>
      <c r="O34" s="14">
        <v>0</v>
      </c>
      <c r="P34" s="14">
        <f t="shared" si="17"/>
        <v>50</v>
      </c>
      <c r="Q34" s="14">
        <f>100+N34*5</f>
        <v>100</v>
      </c>
      <c r="R34" s="14">
        <v>1</v>
      </c>
      <c r="S34" s="14">
        <v>0</v>
      </c>
      <c r="T34" s="14">
        <v>0</v>
      </c>
      <c r="U34" s="10">
        <f t="shared" si="18"/>
        <v>125</v>
      </c>
    </row>
    <row r="35" s="19" customFormat="1" spans="1:21">
      <c r="A35" s="10" t="s">
        <v>311</v>
      </c>
      <c r="B35" s="11">
        <f t="shared" si="14"/>
        <v>40</v>
      </c>
      <c r="C35" s="11">
        <f t="shared" ref="C35:C42" si="21">0+E35*5</f>
        <v>0</v>
      </c>
      <c r="D35" s="11">
        <v>600</v>
      </c>
      <c r="E35" s="11">
        <v>0</v>
      </c>
      <c r="F35" s="8">
        <v>0</v>
      </c>
      <c r="G35" s="8">
        <v>100</v>
      </c>
      <c r="H35" s="8">
        <v>100</v>
      </c>
      <c r="I35" s="8">
        <v>0</v>
      </c>
      <c r="J35" s="8">
        <f t="shared" si="16"/>
        <v>25</v>
      </c>
      <c r="K35" s="15">
        <f>60+N35*10</f>
        <v>60</v>
      </c>
      <c r="L35" s="15">
        <f>15+N35*5</f>
        <v>15</v>
      </c>
      <c r="M35" s="14">
        <v>300</v>
      </c>
      <c r="N35" s="15">
        <v>0</v>
      </c>
      <c r="O35" s="14">
        <v>0</v>
      </c>
      <c r="P35" s="14">
        <f t="shared" si="17"/>
        <v>75</v>
      </c>
      <c r="Q35" s="14">
        <v>100</v>
      </c>
      <c r="R35" s="14">
        <v>1</v>
      </c>
      <c r="S35" s="14">
        <v>0</v>
      </c>
      <c r="T35" s="14">
        <v>0</v>
      </c>
      <c r="U35" s="10">
        <f t="shared" si="18"/>
        <v>75</v>
      </c>
    </row>
    <row r="36" s="19" customFormat="1" spans="1:21">
      <c r="A36" s="10" t="s">
        <v>312</v>
      </c>
      <c r="B36" s="11">
        <f t="shared" si="14"/>
        <v>40</v>
      </c>
      <c r="C36" s="11">
        <f t="shared" si="19"/>
        <v>30</v>
      </c>
      <c r="D36" s="11">
        <v>600</v>
      </c>
      <c r="E36" s="11">
        <v>0</v>
      </c>
      <c r="F36" s="8">
        <v>0</v>
      </c>
      <c r="G36" s="8">
        <v>100</v>
      </c>
      <c r="H36" s="8">
        <v>100</v>
      </c>
      <c r="I36" s="8">
        <v>0</v>
      </c>
      <c r="J36" s="8">
        <f t="shared" si="16"/>
        <v>20</v>
      </c>
      <c r="K36" s="15">
        <f t="shared" si="20"/>
        <v>50</v>
      </c>
      <c r="L36" s="15">
        <f>20+N36*5</f>
        <v>20</v>
      </c>
      <c r="M36" s="14">
        <v>300</v>
      </c>
      <c r="N36" s="15">
        <v>0</v>
      </c>
      <c r="O36" s="14">
        <v>0</v>
      </c>
      <c r="P36" s="14">
        <f t="shared" si="17"/>
        <v>80</v>
      </c>
      <c r="Q36" s="14">
        <v>100</v>
      </c>
      <c r="R36" s="14">
        <v>1</v>
      </c>
      <c r="S36" s="14">
        <v>0</v>
      </c>
      <c r="T36" s="14">
        <v>0</v>
      </c>
      <c r="U36" s="10">
        <f t="shared" si="18"/>
        <v>60</v>
      </c>
    </row>
    <row r="37" s="19" customFormat="1" spans="1:21">
      <c r="A37" s="10" t="s">
        <v>313</v>
      </c>
      <c r="B37" s="11">
        <f t="shared" si="14"/>
        <v>40</v>
      </c>
      <c r="C37" s="11">
        <f t="shared" si="19"/>
        <v>30</v>
      </c>
      <c r="D37" s="11">
        <v>600</v>
      </c>
      <c r="E37" s="11">
        <v>0</v>
      </c>
      <c r="F37" s="8">
        <v>0</v>
      </c>
      <c r="G37" s="8">
        <v>100</v>
      </c>
      <c r="H37" s="8">
        <v>100</v>
      </c>
      <c r="I37" s="8">
        <v>0</v>
      </c>
      <c r="J37" s="8">
        <f t="shared" si="16"/>
        <v>0</v>
      </c>
      <c r="K37" s="15">
        <f>45+N37*5</f>
        <v>45</v>
      </c>
      <c r="L37" s="15">
        <f>40+N37*5</f>
        <v>40</v>
      </c>
      <c r="M37" s="14">
        <v>400</v>
      </c>
      <c r="N37" s="15">
        <v>0</v>
      </c>
      <c r="O37" s="14">
        <v>0</v>
      </c>
      <c r="P37" s="14">
        <f t="shared" si="17"/>
        <v>100</v>
      </c>
      <c r="Q37" s="14">
        <v>100</v>
      </c>
      <c r="R37" s="14">
        <v>1</v>
      </c>
      <c r="S37" s="14">
        <v>0</v>
      </c>
      <c r="T37" s="14">
        <v>0</v>
      </c>
      <c r="U37" s="10">
        <f t="shared" si="18"/>
        <v>0</v>
      </c>
    </row>
    <row r="38" s="19" customFormat="1" spans="1:21">
      <c r="A38" s="10" t="s">
        <v>314</v>
      </c>
      <c r="B38" s="11">
        <f t="shared" si="14"/>
        <v>40</v>
      </c>
      <c r="C38" s="11">
        <f t="shared" si="21"/>
        <v>0</v>
      </c>
      <c r="D38" s="11">
        <v>600</v>
      </c>
      <c r="E38" s="11">
        <v>0</v>
      </c>
      <c r="F38" s="8">
        <v>0</v>
      </c>
      <c r="G38" s="8">
        <v>100</v>
      </c>
      <c r="H38" s="8">
        <v>100</v>
      </c>
      <c r="I38" s="8">
        <v>0</v>
      </c>
      <c r="J38" s="8">
        <f t="shared" si="16"/>
        <v>30</v>
      </c>
      <c r="K38" s="15">
        <f>50+N38*5</f>
        <v>50</v>
      </c>
      <c r="L38" s="15">
        <f t="shared" ref="L38:L42" si="22">10+N38*5</f>
        <v>10</v>
      </c>
      <c r="M38" s="14">
        <v>400</v>
      </c>
      <c r="N38" s="15">
        <v>0</v>
      </c>
      <c r="O38" s="14">
        <v>0</v>
      </c>
      <c r="P38" s="14">
        <f t="shared" si="17"/>
        <v>70</v>
      </c>
      <c r="Q38" s="14">
        <v>100</v>
      </c>
      <c r="R38" s="14">
        <v>1</v>
      </c>
      <c r="S38" s="14">
        <v>0</v>
      </c>
      <c r="T38" s="14">
        <v>0</v>
      </c>
      <c r="U38" s="10">
        <f t="shared" si="18"/>
        <v>120</v>
      </c>
    </row>
    <row r="39" s="19" customFormat="1" spans="1:21">
      <c r="A39" s="10" t="s">
        <v>315</v>
      </c>
      <c r="B39" s="11">
        <f t="shared" si="14"/>
        <v>40</v>
      </c>
      <c r="C39" s="11">
        <f t="shared" ref="C39:C44" si="23">30+E39*5</f>
        <v>30</v>
      </c>
      <c r="D39" s="11">
        <v>600</v>
      </c>
      <c r="E39" s="11">
        <v>0</v>
      </c>
      <c r="F39" s="8">
        <v>0</v>
      </c>
      <c r="G39" s="8">
        <v>100</v>
      </c>
      <c r="H39" s="8">
        <v>100</v>
      </c>
      <c r="I39" s="8">
        <v>0</v>
      </c>
      <c r="J39" s="8">
        <f t="shared" si="16"/>
        <v>10</v>
      </c>
      <c r="K39" s="15">
        <f>55+N39*5</f>
        <v>55</v>
      </c>
      <c r="L39" s="15">
        <f>30+N39*5</f>
        <v>30</v>
      </c>
      <c r="M39" s="14">
        <v>500</v>
      </c>
      <c r="N39" s="15">
        <v>0</v>
      </c>
      <c r="O39" s="14">
        <v>0</v>
      </c>
      <c r="P39" s="14">
        <f t="shared" si="17"/>
        <v>90</v>
      </c>
      <c r="Q39" s="14">
        <v>100</v>
      </c>
      <c r="R39" s="14">
        <v>1</v>
      </c>
      <c r="S39" s="14">
        <v>0</v>
      </c>
      <c r="T39" s="14">
        <v>0</v>
      </c>
      <c r="U39" s="10">
        <f t="shared" si="18"/>
        <v>50</v>
      </c>
    </row>
    <row r="40" s="19" customFormat="1" spans="1:21">
      <c r="A40" s="10" t="s">
        <v>316</v>
      </c>
      <c r="B40" s="11">
        <f t="shared" si="14"/>
        <v>40</v>
      </c>
      <c r="C40" s="11">
        <f t="shared" si="21"/>
        <v>0</v>
      </c>
      <c r="D40" s="11">
        <v>600</v>
      </c>
      <c r="E40" s="11">
        <v>0</v>
      </c>
      <c r="F40" s="8">
        <v>0</v>
      </c>
      <c r="G40" s="8">
        <v>100</v>
      </c>
      <c r="H40" s="8">
        <v>100</v>
      </c>
      <c r="I40" s="8">
        <v>0</v>
      </c>
      <c r="J40" s="8">
        <f t="shared" si="16"/>
        <v>30</v>
      </c>
      <c r="K40" s="14">
        <f>70+N40*10</f>
        <v>70</v>
      </c>
      <c r="L40" s="14">
        <f t="shared" si="22"/>
        <v>10</v>
      </c>
      <c r="M40" s="14">
        <v>500</v>
      </c>
      <c r="N40" s="14">
        <v>0</v>
      </c>
      <c r="O40" s="14">
        <v>0</v>
      </c>
      <c r="P40" s="14">
        <f t="shared" si="17"/>
        <v>70</v>
      </c>
      <c r="Q40" s="14">
        <v>100</v>
      </c>
      <c r="R40" s="14">
        <v>1</v>
      </c>
      <c r="S40" s="14">
        <v>0</v>
      </c>
      <c r="T40" s="14">
        <f>(K40-C40)*1</f>
        <v>70</v>
      </c>
      <c r="U40" s="10">
        <f t="shared" si="18"/>
        <v>-270</v>
      </c>
    </row>
    <row r="41" s="19" customFormat="1" spans="1:21">
      <c r="A41" s="10" t="s">
        <v>317</v>
      </c>
      <c r="B41" s="11">
        <f t="shared" si="14"/>
        <v>40</v>
      </c>
      <c r="C41" s="11">
        <f t="shared" si="21"/>
        <v>0</v>
      </c>
      <c r="D41" s="11">
        <v>600</v>
      </c>
      <c r="E41" s="11">
        <v>0</v>
      </c>
      <c r="F41" s="8">
        <v>0</v>
      </c>
      <c r="G41" s="8">
        <v>100</v>
      </c>
      <c r="H41" s="8">
        <v>100</v>
      </c>
      <c r="I41" s="8">
        <v>0</v>
      </c>
      <c r="J41" s="8">
        <f t="shared" si="16"/>
        <v>30</v>
      </c>
      <c r="K41" s="14">
        <f>75+N41*10</f>
        <v>75</v>
      </c>
      <c r="L41" s="14">
        <f t="shared" si="22"/>
        <v>10</v>
      </c>
      <c r="M41" s="14">
        <v>600</v>
      </c>
      <c r="N41" s="15">
        <v>0</v>
      </c>
      <c r="O41" s="14">
        <v>0</v>
      </c>
      <c r="P41" s="14">
        <f t="shared" si="17"/>
        <v>70</v>
      </c>
      <c r="Q41" s="14">
        <v>100</v>
      </c>
      <c r="R41" s="14">
        <v>1</v>
      </c>
      <c r="S41" s="14">
        <v>0</v>
      </c>
      <c r="T41" s="14">
        <v>0</v>
      </c>
      <c r="U41" s="10">
        <f t="shared" si="18"/>
        <v>180</v>
      </c>
    </row>
    <row r="42" s="19" customFormat="1" spans="1:21">
      <c r="A42" s="10" t="s">
        <v>318</v>
      </c>
      <c r="B42" s="11">
        <f t="shared" si="14"/>
        <v>40</v>
      </c>
      <c r="C42" s="11">
        <f t="shared" si="21"/>
        <v>0</v>
      </c>
      <c r="D42" s="11">
        <v>600</v>
      </c>
      <c r="E42" s="11">
        <v>0</v>
      </c>
      <c r="F42" s="8">
        <v>0</v>
      </c>
      <c r="G42" s="8">
        <v>100</v>
      </c>
      <c r="H42" s="8">
        <v>100</v>
      </c>
      <c r="I42" s="8">
        <v>0</v>
      </c>
      <c r="J42" s="8">
        <f>(B42-L42)*(G42/H42)*50%</f>
        <v>15</v>
      </c>
      <c r="K42" s="14">
        <f>55+N42*5</f>
        <v>55</v>
      </c>
      <c r="L42" s="14">
        <f t="shared" si="22"/>
        <v>10</v>
      </c>
      <c r="M42" s="14">
        <v>600</v>
      </c>
      <c r="N42" s="14">
        <v>0</v>
      </c>
      <c r="O42" s="14">
        <v>0</v>
      </c>
      <c r="P42" s="14">
        <f t="shared" si="17"/>
        <v>85</v>
      </c>
      <c r="Q42" s="14">
        <f>100+N42*25</f>
        <v>100</v>
      </c>
      <c r="R42" s="14">
        <v>1</v>
      </c>
      <c r="S42" s="14">
        <v>0</v>
      </c>
      <c r="T42" s="14">
        <v>0</v>
      </c>
      <c r="U42" s="10">
        <f t="shared" si="18"/>
        <v>90</v>
      </c>
    </row>
    <row r="43" s="19" customFormat="1" spans="1:21">
      <c r="A43" s="10" t="s">
        <v>319</v>
      </c>
      <c r="B43" s="11">
        <f t="shared" si="14"/>
        <v>40</v>
      </c>
      <c r="C43" s="11">
        <f t="shared" si="23"/>
        <v>30</v>
      </c>
      <c r="D43" s="11">
        <v>600</v>
      </c>
      <c r="E43" s="11">
        <v>0</v>
      </c>
      <c r="F43" s="8">
        <v>0</v>
      </c>
      <c r="G43" s="8">
        <v>100</v>
      </c>
      <c r="H43" s="8">
        <v>100</v>
      </c>
      <c r="I43" s="8">
        <v>0</v>
      </c>
      <c r="J43" s="8">
        <f t="shared" ref="J43:J46" si="24">(B43-L43)*(G43/H43)</f>
        <v>20</v>
      </c>
      <c r="K43" s="14">
        <f>55+N43*10</f>
        <v>55</v>
      </c>
      <c r="L43" s="14">
        <f>20+N43*5</f>
        <v>20</v>
      </c>
      <c r="M43" s="14">
        <v>600</v>
      </c>
      <c r="N43" s="15">
        <v>0</v>
      </c>
      <c r="O43" s="14">
        <v>0</v>
      </c>
      <c r="P43" s="14">
        <f t="shared" si="17"/>
        <v>80</v>
      </c>
      <c r="Q43" s="14">
        <f>100+N43*10</f>
        <v>100</v>
      </c>
      <c r="R43" s="14">
        <v>1</v>
      </c>
      <c r="S43" s="14">
        <v>0</v>
      </c>
      <c r="T43" s="14">
        <v>0</v>
      </c>
      <c r="U43" s="10">
        <f t="shared" si="18"/>
        <v>120</v>
      </c>
    </row>
    <row r="44" s="19" customFormat="1" spans="1:21">
      <c r="A44" s="10" t="s">
        <v>320</v>
      </c>
      <c r="B44" s="11">
        <f t="shared" si="14"/>
        <v>40</v>
      </c>
      <c r="C44" s="11">
        <f t="shared" si="23"/>
        <v>30</v>
      </c>
      <c r="D44" s="11">
        <v>600</v>
      </c>
      <c r="E44" s="11">
        <v>0</v>
      </c>
      <c r="F44" s="8">
        <v>0</v>
      </c>
      <c r="G44" s="8">
        <v>100</v>
      </c>
      <c r="H44" s="8">
        <v>100</v>
      </c>
      <c r="I44" s="8">
        <v>0</v>
      </c>
      <c r="J44" s="8">
        <f t="shared" si="24"/>
        <v>10</v>
      </c>
      <c r="K44" s="14">
        <f>40+N44*5</f>
        <v>40</v>
      </c>
      <c r="L44" s="14">
        <f>30+N44*5</f>
        <v>30</v>
      </c>
      <c r="M44" s="14">
        <v>600</v>
      </c>
      <c r="N44" s="14">
        <v>0</v>
      </c>
      <c r="O44" s="14">
        <v>0</v>
      </c>
      <c r="P44" s="14">
        <f t="shared" si="17"/>
        <v>90</v>
      </c>
      <c r="Q44" s="14">
        <v>100</v>
      </c>
      <c r="R44" s="14">
        <v>1</v>
      </c>
      <c r="S44" s="14">
        <v>0</v>
      </c>
      <c r="T44" s="14">
        <v>0</v>
      </c>
      <c r="U44" s="10">
        <f t="shared" si="18"/>
        <v>60</v>
      </c>
    </row>
    <row r="45" s="19" customFormat="1" spans="1:21">
      <c r="A45" s="10" t="s">
        <v>321</v>
      </c>
      <c r="B45" s="11">
        <f t="shared" si="14"/>
        <v>40</v>
      </c>
      <c r="C45" s="11">
        <f t="shared" ref="C45:C49" si="25">0+E45*5</f>
        <v>0</v>
      </c>
      <c r="D45" s="11">
        <v>600</v>
      </c>
      <c r="E45" s="11">
        <v>0</v>
      </c>
      <c r="F45" s="8">
        <v>0</v>
      </c>
      <c r="G45" s="8">
        <v>100</v>
      </c>
      <c r="H45" s="8">
        <v>100</v>
      </c>
      <c r="I45" s="8">
        <v>0</v>
      </c>
      <c r="J45" s="8">
        <f t="shared" si="24"/>
        <v>35</v>
      </c>
      <c r="K45" s="14">
        <f>60+N45*5</f>
        <v>60</v>
      </c>
      <c r="L45" s="14">
        <f>5+N45*5</f>
        <v>5</v>
      </c>
      <c r="M45" s="14">
        <v>800</v>
      </c>
      <c r="N45" s="15">
        <v>0</v>
      </c>
      <c r="O45" s="14">
        <v>0</v>
      </c>
      <c r="P45" s="14">
        <f t="shared" si="17"/>
        <v>65</v>
      </c>
      <c r="Q45" s="14">
        <v>100</v>
      </c>
      <c r="R45" s="14">
        <v>1</v>
      </c>
      <c r="S45" s="14">
        <v>0</v>
      </c>
      <c r="T45" s="14">
        <v>0</v>
      </c>
      <c r="U45" s="10">
        <f t="shared" si="18"/>
        <v>280</v>
      </c>
    </row>
    <row r="46" s="19" customFormat="1" spans="1:21">
      <c r="A46" s="10" t="s">
        <v>322</v>
      </c>
      <c r="B46" s="11">
        <f t="shared" si="14"/>
        <v>40</v>
      </c>
      <c r="C46" s="11">
        <f t="shared" si="25"/>
        <v>0</v>
      </c>
      <c r="D46" s="11">
        <v>600</v>
      </c>
      <c r="E46" s="11">
        <v>0</v>
      </c>
      <c r="F46" s="8">
        <v>0</v>
      </c>
      <c r="G46" s="8">
        <v>100</v>
      </c>
      <c r="H46" s="8">
        <v>100</v>
      </c>
      <c r="I46" s="8">
        <v>0</v>
      </c>
      <c r="J46" s="8">
        <f t="shared" si="24"/>
        <v>30</v>
      </c>
      <c r="K46" s="14">
        <f>60+N46*10</f>
        <v>60</v>
      </c>
      <c r="L46" s="14">
        <f>10+N46*5</f>
        <v>10</v>
      </c>
      <c r="M46" s="14">
        <v>800</v>
      </c>
      <c r="N46" s="14">
        <v>0</v>
      </c>
      <c r="O46" s="14">
        <v>0</v>
      </c>
      <c r="P46" s="14">
        <f t="shared" si="17"/>
        <v>70</v>
      </c>
      <c r="Q46" s="14">
        <v>100</v>
      </c>
      <c r="R46" s="14">
        <v>1</v>
      </c>
      <c r="S46" s="14">
        <v>0</v>
      </c>
      <c r="T46" s="14">
        <v>0</v>
      </c>
      <c r="U46" s="10">
        <f t="shared" si="18"/>
        <v>240</v>
      </c>
    </row>
    <row r="47" s="19" customFormat="1" spans="1:21">
      <c r="A47" s="10" t="s">
        <v>323</v>
      </c>
      <c r="B47" s="11">
        <f t="shared" si="14"/>
        <v>40</v>
      </c>
      <c r="C47" s="11">
        <f>30+E47*5</f>
        <v>30</v>
      </c>
      <c r="D47" s="11">
        <v>600</v>
      </c>
      <c r="E47" s="11">
        <v>0</v>
      </c>
      <c r="F47" s="8">
        <v>0</v>
      </c>
      <c r="G47" s="8">
        <v>100</v>
      </c>
      <c r="H47" s="8">
        <v>100</v>
      </c>
      <c r="I47" s="8">
        <v>0</v>
      </c>
      <c r="J47" s="8">
        <f>(B47-L47)*(G47/H47)*50%</f>
        <v>7.5</v>
      </c>
      <c r="K47" s="14">
        <f>70+N47*10</f>
        <v>70</v>
      </c>
      <c r="L47" s="14">
        <f>25+N47*5</f>
        <v>25</v>
      </c>
      <c r="M47" s="14">
        <v>1000</v>
      </c>
      <c r="N47" s="15">
        <v>0</v>
      </c>
      <c r="O47" s="14">
        <v>0</v>
      </c>
      <c r="P47" s="14">
        <f t="shared" si="17"/>
        <v>92.5</v>
      </c>
      <c r="Q47" s="14">
        <v>100</v>
      </c>
      <c r="R47" s="14">
        <v>1</v>
      </c>
      <c r="S47" s="14">
        <v>0</v>
      </c>
      <c r="T47" s="14">
        <v>0</v>
      </c>
      <c r="U47" s="10">
        <f t="shared" si="18"/>
        <v>75</v>
      </c>
    </row>
    <row r="48" s="19" customFormat="1" spans="1:21">
      <c r="A48" s="10" t="s">
        <v>324</v>
      </c>
      <c r="B48" s="11">
        <f t="shared" si="14"/>
        <v>40</v>
      </c>
      <c r="C48" s="11">
        <f t="shared" si="25"/>
        <v>0</v>
      </c>
      <c r="D48" s="11">
        <v>600</v>
      </c>
      <c r="E48" s="11">
        <v>0</v>
      </c>
      <c r="F48" s="8">
        <v>0</v>
      </c>
      <c r="G48" s="8">
        <v>100</v>
      </c>
      <c r="H48" s="8">
        <v>100</v>
      </c>
      <c r="I48" s="8">
        <v>0</v>
      </c>
      <c r="J48" s="8">
        <f>(B48-L48)*(G48/H48)</f>
        <v>20</v>
      </c>
      <c r="K48" s="14">
        <f>60+N48*10</f>
        <v>60</v>
      </c>
      <c r="L48" s="14">
        <f>20+N48*5</f>
        <v>20</v>
      </c>
      <c r="M48" s="14">
        <v>600</v>
      </c>
      <c r="N48" s="14">
        <v>0</v>
      </c>
      <c r="O48" s="14">
        <v>0</v>
      </c>
      <c r="P48" s="14">
        <f t="shared" si="17"/>
        <v>80</v>
      </c>
      <c r="Q48" s="14">
        <v>100</v>
      </c>
      <c r="R48" s="14">
        <v>1</v>
      </c>
      <c r="S48" s="14">
        <v>0</v>
      </c>
      <c r="T48" s="14">
        <v>0</v>
      </c>
      <c r="U48" s="10">
        <f t="shared" si="18"/>
        <v>120</v>
      </c>
    </row>
    <row r="49" s="19" customFormat="1" spans="1:21">
      <c r="A49" s="10" t="s">
        <v>325</v>
      </c>
      <c r="B49" s="11">
        <f t="shared" si="14"/>
        <v>40</v>
      </c>
      <c r="C49" s="11">
        <f t="shared" si="25"/>
        <v>0</v>
      </c>
      <c r="D49" s="11">
        <v>600</v>
      </c>
      <c r="E49" s="11">
        <v>0</v>
      </c>
      <c r="F49" s="8">
        <v>0</v>
      </c>
      <c r="G49" s="8">
        <v>100</v>
      </c>
      <c r="H49" s="8">
        <v>100</v>
      </c>
      <c r="I49" s="8">
        <v>0</v>
      </c>
      <c r="J49" s="8">
        <f>(B49-L49)*(G49/H49)</f>
        <v>35</v>
      </c>
      <c r="K49" s="14">
        <f>40+N49*10</f>
        <v>40</v>
      </c>
      <c r="L49" s="14">
        <f>5+N49*5</f>
        <v>5</v>
      </c>
      <c r="M49" s="14">
        <v>150</v>
      </c>
      <c r="N49" s="15">
        <v>0</v>
      </c>
      <c r="O49" s="14">
        <v>0</v>
      </c>
      <c r="P49" s="14">
        <f t="shared" si="17"/>
        <v>65</v>
      </c>
      <c r="Q49" s="14">
        <v>100</v>
      </c>
      <c r="R49" s="14">
        <v>1</v>
      </c>
      <c r="S49" s="14">
        <v>0</v>
      </c>
      <c r="T49" s="14">
        <v>0</v>
      </c>
      <c r="U49" s="10">
        <f t="shared" si="18"/>
        <v>52.5</v>
      </c>
    </row>
  </sheetData>
  <mergeCells count="16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B28:J28"/>
    <mergeCell ref="K28:T28"/>
    <mergeCell ref="U5:U6"/>
    <mergeCell ref="U28:U29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zoomScale="90" zoomScaleNormal="90" workbookViewId="0">
      <selection activeCell="L7" sqref="L7:L26"/>
    </sheetView>
  </sheetViews>
  <sheetFormatPr defaultColWidth="8.89090909090909" defaultRowHeight="14"/>
  <cols>
    <col min="1" max="1" width="18.1090909090909" customWidth="1"/>
    <col min="2" max="3" width="8.33636363636364" customWidth="1"/>
    <col min="4" max="7" width="6.10909090909091" customWidth="1"/>
    <col min="8" max="8" width="8.33636363636364" customWidth="1"/>
    <col min="9" max="9" width="18.1090909090909" customWidth="1"/>
    <col min="10" max="10" width="10.6636363636364" customWidth="1"/>
    <col min="11" max="12" width="8.33636363636364" customWidth="1"/>
    <col min="13" max="16" width="6.10909090909091" customWidth="1"/>
    <col min="17" max="17" width="8.33636363636364" customWidth="1"/>
    <col min="18" max="18" width="10.6636363636364" customWidth="1"/>
    <col min="19" max="19" width="18.1090909090909" customWidth="1"/>
    <col min="20" max="21" width="10.6636363636364" customWidth="1"/>
  </cols>
  <sheetData>
    <row r="1" ht="15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5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ht="15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ht="15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S4" s="1"/>
      <c r="T4" s="16" t="s">
        <v>6</v>
      </c>
      <c r="U4" s="17"/>
    </row>
    <row r="5" ht="15" spans="1:21">
      <c r="A5" s="7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ht="15" spans="1:21">
      <c r="A6" s="9"/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ht="15" spans="1:21">
      <c r="A7" s="10" t="s">
        <v>326</v>
      </c>
      <c r="B7" s="11">
        <f>60+E7*10</f>
        <v>60</v>
      </c>
      <c r="C7" s="11">
        <f>5+E7*5</f>
        <v>5</v>
      </c>
      <c r="D7" s="11">
        <v>800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 t="shared" ref="J7:J16" si="0">(B7-L7)*(G7/H7)</f>
        <v>55</v>
      </c>
      <c r="K7" s="15">
        <f>55+N7*10</f>
        <v>55</v>
      </c>
      <c r="L7" s="15">
        <f t="shared" ref="L7:L10" si="1">5+N7*5</f>
        <v>5</v>
      </c>
      <c r="M7" s="15">
        <v>150</v>
      </c>
      <c r="N7" s="15">
        <v>0</v>
      </c>
      <c r="O7" s="14">
        <v>0</v>
      </c>
      <c r="P7" s="14">
        <f t="shared" ref="P7:P26" si="2">Q7-J7</f>
        <v>45</v>
      </c>
      <c r="Q7" s="14">
        <v>100</v>
      </c>
      <c r="R7" s="14">
        <v>1</v>
      </c>
      <c r="S7" s="14">
        <v>0</v>
      </c>
      <c r="T7" s="14">
        <v>0</v>
      </c>
      <c r="U7" s="10">
        <f t="shared" ref="U7:U26" si="3">(M7*(N7/3+1)*(J7*R7+S7)-(D7*(E7/3+1))*(T7+I7))/100</f>
        <v>82.5</v>
      </c>
    </row>
    <row r="8" ht="15" spans="1:21">
      <c r="A8" s="10" t="s">
        <v>327</v>
      </c>
      <c r="B8" s="11">
        <f t="shared" ref="B8:B26" si="4">60+E8*10</f>
        <v>60</v>
      </c>
      <c r="C8" s="11">
        <f t="shared" ref="C8:C26" si="5">5+E8*5</f>
        <v>5</v>
      </c>
      <c r="D8" s="11">
        <v>800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si="0"/>
        <v>55</v>
      </c>
      <c r="K8" s="15">
        <f t="shared" ref="K8:K13" si="6">50+N8*10</f>
        <v>50</v>
      </c>
      <c r="L8" s="15">
        <f t="shared" si="1"/>
        <v>5</v>
      </c>
      <c r="M8" s="14">
        <v>200</v>
      </c>
      <c r="N8" s="15">
        <v>0</v>
      </c>
      <c r="O8" s="14">
        <v>0</v>
      </c>
      <c r="P8" s="14">
        <f t="shared" si="2"/>
        <v>45</v>
      </c>
      <c r="Q8" s="14">
        <v>100</v>
      </c>
      <c r="R8" s="14">
        <v>1</v>
      </c>
      <c r="S8" s="14">
        <v>0</v>
      </c>
      <c r="T8" s="14">
        <v>0</v>
      </c>
      <c r="U8" s="10">
        <f t="shared" si="3"/>
        <v>110</v>
      </c>
    </row>
    <row r="9" ht="15" spans="1:21">
      <c r="A9" s="10" t="s">
        <v>328</v>
      </c>
      <c r="B9" s="11">
        <f t="shared" si="4"/>
        <v>60</v>
      </c>
      <c r="C9" s="11">
        <f t="shared" si="5"/>
        <v>5</v>
      </c>
      <c r="D9" s="11">
        <v>800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0"/>
        <v>60</v>
      </c>
      <c r="K9" s="15">
        <f>40+N9*10</f>
        <v>40</v>
      </c>
      <c r="L9" s="15">
        <f t="shared" ref="L9:L14" si="7">0+N9*5</f>
        <v>0</v>
      </c>
      <c r="M9" s="14">
        <v>200</v>
      </c>
      <c r="N9" s="15">
        <v>0</v>
      </c>
      <c r="O9" s="14">
        <v>0</v>
      </c>
      <c r="P9" s="14">
        <f t="shared" si="2"/>
        <v>40</v>
      </c>
      <c r="Q9" s="14">
        <v>100</v>
      </c>
      <c r="R9" s="14">
        <v>1</v>
      </c>
      <c r="S9" s="14">
        <v>0</v>
      </c>
      <c r="T9" s="14">
        <v>0</v>
      </c>
      <c r="U9" s="10">
        <f t="shared" si="3"/>
        <v>120</v>
      </c>
    </row>
    <row r="10" ht="15" spans="1:21">
      <c r="A10" s="10" t="s">
        <v>329</v>
      </c>
      <c r="B10" s="11">
        <f t="shared" si="4"/>
        <v>60</v>
      </c>
      <c r="C10" s="11">
        <f t="shared" si="5"/>
        <v>5</v>
      </c>
      <c r="D10" s="11">
        <v>800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0"/>
        <v>55</v>
      </c>
      <c r="K10" s="15">
        <f>45+N10*10</f>
        <v>45</v>
      </c>
      <c r="L10" s="15">
        <f t="shared" si="1"/>
        <v>5</v>
      </c>
      <c r="M10" s="14">
        <v>250</v>
      </c>
      <c r="N10" s="15">
        <v>0</v>
      </c>
      <c r="O10" s="14">
        <v>0</v>
      </c>
      <c r="P10" s="14">
        <f t="shared" si="2"/>
        <v>45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3"/>
        <v>137.5</v>
      </c>
    </row>
    <row r="11" ht="15" spans="1:21">
      <c r="A11" s="10" t="s">
        <v>330</v>
      </c>
      <c r="B11" s="11">
        <f t="shared" si="4"/>
        <v>60</v>
      </c>
      <c r="C11" s="11">
        <f t="shared" si="5"/>
        <v>5</v>
      </c>
      <c r="D11" s="11">
        <v>800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0"/>
        <v>20</v>
      </c>
      <c r="K11" s="15">
        <f t="shared" si="6"/>
        <v>50</v>
      </c>
      <c r="L11" s="15">
        <f>40+N11*5</f>
        <v>40</v>
      </c>
      <c r="M11" s="14">
        <v>250</v>
      </c>
      <c r="N11" s="15">
        <v>0</v>
      </c>
      <c r="O11" s="14">
        <v>0</v>
      </c>
      <c r="P11" s="14">
        <f t="shared" si="2"/>
        <v>80</v>
      </c>
      <c r="Q11" s="14">
        <f>100+N11*5</f>
        <v>100</v>
      </c>
      <c r="R11" s="14">
        <v>1</v>
      </c>
      <c r="S11" s="14">
        <v>0</v>
      </c>
      <c r="T11" s="14">
        <v>0</v>
      </c>
      <c r="U11" s="10">
        <f t="shared" si="3"/>
        <v>50</v>
      </c>
    </row>
    <row r="12" ht="15" spans="1:21">
      <c r="A12" s="10" t="s">
        <v>331</v>
      </c>
      <c r="B12" s="11">
        <f t="shared" si="4"/>
        <v>60</v>
      </c>
      <c r="C12" s="11">
        <f t="shared" si="5"/>
        <v>5</v>
      </c>
      <c r="D12" s="11">
        <v>800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0"/>
        <v>45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2"/>
        <v>55</v>
      </c>
      <c r="Q12" s="14">
        <v>100</v>
      </c>
      <c r="R12" s="14">
        <v>1</v>
      </c>
      <c r="S12" s="14">
        <v>0</v>
      </c>
      <c r="T12" s="14">
        <v>0</v>
      </c>
      <c r="U12" s="10">
        <f t="shared" si="3"/>
        <v>135</v>
      </c>
    </row>
    <row r="13" ht="15" spans="1:21">
      <c r="A13" s="10" t="s">
        <v>332</v>
      </c>
      <c r="B13" s="11">
        <f t="shared" si="4"/>
        <v>60</v>
      </c>
      <c r="C13" s="11">
        <f t="shared" si="5"/>
        <v>5</v>
      </c>
      <c r="D13" s="11">
        <v>800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0"/>
        <v>60</v>
      </c>
      <c r="K13" s="15">
        <f t="shared" si="6"/>
        <v>50</v>
      </c>
      <c r="L13" s="15">
        <f t="shared" si="7"/>
        <v>0</v>
      </c>
      <c r="M13" s="14">
        <v>300</v>
      </c>
      <c r="N13" s="15">
        <v>0</v>
      </c>
      <c r="O13" s="14">
        <v>0</v>
      </c>
      <c r="P13" s="14">
        <f t="shared" si="2"/>
        <v>40</v>
      </c>
      <c r="Q13" s="14">
        <v>100</v>
      </c>
      <c r="R13" s="14">
        <v>1</v>
      </c>
      <c r="S13" s="14">
        <v>0</v>
      </c>
      <c r="T13" s="14">
        <v>0</v>
      </c>
      <c r="U13" s="10">
        <f t="shared" si="3"/>
        <v>180</v>
      </c>
    </row>
    <row r="14" ht="15" spans="1:21">
      <c r="A14" s="10" t="s">
        <v>333</v>
      </c>
      <c r="B14" s="11">
        <f t="shared" si="4"/>
        <v>60</v>
      </c>
      <c r="C14" s="11">
        <f t="shared" si="5"/>
        <v>5</v>
      </c>
      <c r="D14" s="11">
        <v>800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0"/>
        <v>60</v>
      </c>
      <c r="K14" s="15">
        <f>45+N14*5</f>
        <v>45</v>
      </c>
      <c r="L14" s="15">
        <f t="shared" si="7"/>
        <v>0</v>
      </c>
      <c r="M14" s="14">
        <v>400</v>
      </c>
      <c r="N14" s="15">
        <v>0</v>
      </c>
      <c r="O14" s="14">
        <v>0</v>
      </c>
      <c r="P14" s="14">
        <f t="shared" si="2"/>
        <v>40</v>
      </c>
      <c r="Q14" s="14">
        <v>100</v>
      </c>
      <c r="R14" s="14">
        <v>1</v>
      </c>
      <c r="S14" s="14">
        <v>0</v>
      </c>
      <c r="T14" s="14">
        <v>0</v>
      </c>
      <c r="U14" s="10">
        <f t="shared" si="3"/>
        <v>240</v>
      </c>
    </row>
    <row r="15" ht="15" spans="1:21">
      <c r="A15" s="10" t="s">
        <v>334</v>
      </c>
      <c r="B15" s="11">
        <f t="shared" si="4"/>
        <v>60</v>
      </c>
      <c r="C15" s="11">
        <f t="shared" si="5"/>
        <v>5</v>
      </c>
      <c r="D15" s="11">
        <v>800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0"/>
        <v>50</v>
      </c>
      <c r="K15" s="15">
        <f>50+N15*5</f>
        <v>50</v>
      </c>
      <c r="L15" s="15">
        <f>10+N15*5</f>
        <v>10</v>
      </c>
      <c r="M15" s="14">
        <v>400</v>
      </c>
      <c r="N15" s="15">
        <v>0</v>
      </c>
      <c r="O15" s="14">
        <v>0</v>
      </c>
      <c r="P15" s="14">
        <f t="shared" si="2"/>
        <v>50</v>
      </c>
      <c r="Q15" s="14">
        <v>100</v>
      </c>
      <c r="R15" s="14">
        <v>1</v>
      </c>
      <c r="S15" s="14">
        <v>0</v>
      </c>
      <c r="T15" s="14">
        <v>0</v>
      </c>
      <c r="U15" s="10">
        <f t="shared" si="3"/>
        <v>200</v>
      </c>
    </row>
    <row r="16" ht="15" spans="1:21">
      <c r="A16" s="10" t="s">
        <v>335</v>
      </c>
      <c r="B16" s="11">
        <f t="shared" si="4"/>
        <v>60</v>
      </c>
      <c r="C16" s="11">
        <f t="shared" si="5"/>
        <v>5</v>
      </c>
      <c r="D16" s="11">
        <v>800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0"/>
        <v>40</v>
      </c>
      <c r="K16" s="15">
        <f>55+N16*5</f>
        <v>55</v>
      </c>
      <c r="L16" s="15">
        <f t="shared" ref="L16:L18" si="8">20+N16*5</f>
        <v>20</v>
      </c>
      <c r="M16" s="14">
        <v>500</v>
      </c>
      <c r="N16" s="15">
        <v>0</v>
      </c>
      <c r="O16" s="14">
        <v>0</v>
      </c>
      <c r="P16" s="14">
        <f t="shared" si="2"/>
        <v>60</v>
      </c>
      <c r="Q16" s="14">
        <v>100</v>
      </c>
      <c r="R16" s="14">
        <v>1</v>
      </c>
      <c r="S16" s="14">
        <v>0</v>
      </c>
      <c r="T16" s="14">
        <v>0</v>
      </c>
      <c r="U16" s="10">
        <f t="shared" si="3"/>
        <v>200</v>
      </c>
    </row>
    <row r="17" ht="15" spans="1:21">
      <c r="A17" s="10" t="s">
        <v>336</v>
      </c>
      <c r="B17" s="11">
        <f t="shared" si="4"/>
        <v>60</v>
      </c>
      <c r="C17" s="11">
        <f t="shared" si="5"/>
        <v>5</v>
      </c>
      <c r="D17" s="11">
        <v>800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ref="J17:J23" si="9">(B17-L17)*(G17/H17)</f>
        <v>40</v>
      </c>
      <c r="K17" s="14">
        <f>70+N17*10</f>
        <v>70</v>
      </c>
      <c r="L17" s="14">
        <f t="shared" si="8"/>
        <v>20</v>
      </c>
      <c r="M17" s="14">
        <v>500</v>
      </c>
      <c r="N17" s="14">
        <v>0</v>
      </c>
      <c r="O17" s="14">
        <v>0</v>
      </c>
      <c r="P17" s="14">
        <f t="shared" si="2"/>
        <v>60</v>
      </c>
      <c r="Q17" s="14">
        <v>100</v>
      </c>
      <c r="R17" s="14">
        <v>1</v>
      </c>
      <c r="S17" s="14">
        <v>0</v>
      </c>
      <c r="T17" s="14">
        <v>0</v>
      </c>
      <c r="U17" s="10">
        <f t="shared" si="3"/>
        <v>200</v>
      </c>
    </row>
    <row r="18" ht="15" spans="1:21">
      <c r="A18" s="10" t="s">
        <v>337</v>
      </c>
      <c r="B18" s="11">
        <f t="shared" si="4"/>
        <v>60</v>
      </c>
      <c r="C18" s="11">
        <f t="shared" si="5"/>
        <v>5</v>
      </c>
      <c r="D18" s="11">
        <v>800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9"/>
        <v>40</v>
      </c>
      <c r="K18" s="14">
        <f>75+N18*10</f>
        <v>75</v>
      </c>
      <c r="L18" s="14">
        <f t="shared" si="8"/>
        <v>20</v>
      </c>
      <c r="M18" s="14">
        <v>600</v>
      </c>
      <c r="N18" s="15">
        <v>0</v>
      </c>
      <c r="O18" s="14">
        <v>0</v>
      </c>
      <c r="P18" s="14">
        <f t="shared" si="2"/>
        <v>60</v>
      </c>
      <c r="Q18" s="14">
        <v>100</v>
      </c>
      <c r="R18" s="14">
        <v>1</v>
      </c>
      <c r="S18" s="14">
        <v>0</v>
      </c>
      <c r="T18" s="14">
        <v>0</v>
      </c>
      <c r="U18" s="10">
        <f t="shared" si="3"/>
        <v>240</v>
      </c>
    </row>
    <row r="19" ht="15" spans="1:21">
      <c r="A19" s="10" t="s">
        <v>338</v>
      </c>
      <c r="B19" s="11">
        <f t="shared" si="4"/>
        <v>60</v>
      </c>
      <c r="C19" s="11">
        <f t="shared" si="5"/>
        <v>5</v>
      </c>
      <c r="D19" s="11">
        <v>800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>(B19-L19)*(G19/H19)*50%</f>
        <v>15</v>
      </c>
      <c r="K19" s="14">
        <f>55+N19*5</f>
        <v>55</v>
      </c>
      <c r="L19" s="14">
        <f>30+N19*5</f>
        <v>30</v>
      </c>
      <c r="M19" s="14">
        <v>600</v>
      </c>
      <c r="N19" s="14">
        <v>0</v>
      </c>
      <c r="O19" s="14">
        <v>0</v>
      </c>
      <c r="P19" s="14">
        <f t="shared" si="2"/>
        <v>85</v>
      </c>
      <c r="Q19" s="14">
        <f>100+N19*25</f>
        <v>100</v>
      </c>
      <c r="R19" s="14">
        <v>1</v>
      </c>
      <c r="S19" s="14">
        <v>0</v>
      </c>
      <c r="T19" s="14">
        <v>0</v>
      </c>
      <c r="U19" s="10">
        <f t="shared" si="3"/>
        <v>90</v>
      </c>
    </row>
    <row r="20" ht="15" spans="1:21">
      <c r="A20" s="10" t="s">
        <v>339</v>
      </c>
      <c r="B20" s="11">
        <f t="shared" si="4"/>
        <v>60</v>
      </c>
      <c r="C20" s="11">
        <f t="shared" si="5"/>
        <v>5</v>
      </c>
      <c r="D20" s="11">
        <v>800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9"/>
        <v>50</v>
      </c>
      <c r="K20" s="14">
        <f>55+N20*10</f>
        <v>55</v>
      </c>
      <c r="L20" s="14">
        <f>10+N20*5</f>
        <v>10</v>
      </c>
      <c r="M20" s="14">
        <v>600</v>
      </c>
      <c r="N20" s="15">
        <v>0</v>
      </c>
      <c r="O20" s="14">
        <v>0</v>
      </c>
      <c r="P20" s="14">
        <f t="shared" si="2"/>
        <v>50</v>
      </c>
      <c r="Q20" s="14">
        <f>100+N20*10</f>
        <v>100</v>
      </c>
      <c r="R20" s="14">
        <v>1</v>
      </c>
      <c r="S20" s="14">
        <v>0</v>
      </c>
      <c r="T20" s="14">
        <v>0</v>
      </c>
      <c r="U20" s="10">
        <f t="shared" si="3"/>
        <v>300</v>
      </c>
    </row>
    <row r="21" ht="15" spans="1:21">
      <c r="A21" s="10" t="s">
        <v>340</v>
      </c>
      <c r="B21" s="11">
        <f t="shared" si="4"/>
        <v>60</v>
      </c>
      <c r="C21" s="11">
        <f t="shared" si="5"/>
        <v>5</v>
      </c>
      <c r="D21" s="11">
        <v>800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9"/>
        <v>60</v>
      </c>
      <c r="K21" s="14">
        <f>40+N21*5</f>
        <v>40</v>
      </c>
      <c r="L21" s="14">
        <f>0+N21*5</f>
        <v>0</v>
      </c>
      <c r="M21" s="14">
        <v>600</v>
      </c>
      <c r="N21" s="14">
        <v>0</v>
      </c>
      <c r="O21" s="14">
        <v>0</v>
      </c>
      <c r="P21" s="14">
        <f t="shared" si="2"/>
        <v>40</v>
      </c>
      <c r="Q21" s="14">
        <v>100</v>
      </c>
      <c r="R21" s="14">
        <v>1</v>
      </c>
      <c r="S21" s="14">
        <v>0</v>
      </c>
      <c r="T21" s="14">
        <v>0</v>
      </c>
      <c r="U21" s="10">
        <f t="shared" si="3"/>
        <v>360</v>
      </c>
    </row>
    <row r="22" ht="15" spans="1:21">
      <c r="A22" s="10" t="s">
        <v>341</v>
      </c>
      <c r="B22" s="11">
        <f t="shared" si="4"/>
        <v>60</v>
      </c>
      <c r="C22" s="11">
        <f t="shared" si="5"/>
        <v>5</v>
      </c>
      <c r="D22" s="11">
        <v>800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9"/>
        <v>55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2"/>
        <v>45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3"/>
        <v>440</v>
      </c>
    </row>
    <row r="23" ht="15" spans="1:21">
      <c r="A23" s="10" t="s">
        <v>342</v>
      </c>
      <c r="B23" s="11">
        <f t="shared" si="4"/>
        <v>60</v>
      </c>
      <c r="C23" s="11">
        <f t="shared" si="5"/>
        <v>5</v>
      </c>
      <c r="D23" s="11">
        <v>800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9"/>
        <v>40</v>
      </c>
      <c r="K23" s="14">
        <f>60+N23*10</f>
        <v>60</v>
      </c>
      <c r="L23" s="14">
        <f>20+N23*5</f>
        <v>20</v>
      </c>
      <c r="M23" s="14">
        <v>800</v>
      </c>
      <c r="N23" s="14">
        <v>0</v>
      </c>
      <c r="O23" s="14">
        <v>0</v>
      </c>
      <c r="P23" s="14">
        <f t="shared" si="2"/>
        <v>60</v>
      </c>
      <c r="Q23" s="14">
        <v>100</v>
      </c>
      <c r="R23" s="14">
        <v>1</v>
      </c>
      <c r="S23" s="14">
        <v>0</v>
      </c>
      <c r="T23" s="14">
        <v>0</v>
      </c>
      <c r="U23" s="10">
        <f t="shared" si="3"/>
        <v>320</v>
      </c>
    </row>
    <row r="24" ht="15" spans="1:21">
      <c r="A24" s="10" t="s">
        <v>343</v>
      </c>
      <c r="B24" s="11">
        <f t="shared" si="4"/>
        <v>60</v>
      </c>
      <c r="C24" s="11">
        <f t="shared" si="5"/>
        <v>5</v>
      </c>
      <c r="D24" s="11">
        <v>800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>(B24-L24)*(G24/H24)*50%</f>
        <v>17.5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2"/>
        <v>82.5</v>
      </c>
      <c r="Q24" s="14">
        <v>100</v>
      </c>
      <c r="R24" s="14">
        <v>1</v>
      </c>
      <c r="S24" s="14">
        <v>0</v>
      </c>
      <c r="T24" s="14">
        <v>0</v>
      </c>
      <c r="U24" s="10">
        <f t="shared" si="3"/>
        <v>175</v>
      </c>
    </row>
    <row r="25" ht="15" spans="1:21">
      <c r="A25" s="10" t="s">
        <v>344</v>
      </c>
      <c r="B25" s="11">
        <f t="shared" si="4"/>
        <v>60</v>
      </c>
      <c r="C25" s="11">
        <f t="shared" si="5"/>
        <v>5</v>
      </c>
      <c r="D25" s="11">
        <v>800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ref="J25:J28" si="10">(B25-L25)*(G25/H25)</f>
        <v>40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2"/>
        <v>60</v>
      </c>
      <c r="Q25" s="14">
        <v>100</v>
      </c>
      <c r="R25" s="14">
        <v>1</v>
      </c>
      <c r="S25" s="14">
        <v>0</v>
      </c>
      <c r="T25" s="14">
        <v>0</v>
      </c>
      <c r="U25" s="10">
        <f t="shared" si="3"/>
        <v>240</v>
      </c>
    </row>
    <row r="26" ht="15" spans="1:21">
      <c r="A26" s="10" t="s">
        <v>345</v>
      </c>
      <c r="B26" s="11">
        <f t="shared" si="4"/>
        <v>60</v>
      </c>
      <c r="C26" s="11">
        <f t="shared" si="5"/>
        <v>5</v>
      </c>
      <c r="D26" s="11">
        <v>800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10"/>
        <v>55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2"/>
        <v>45</v>
      </c>
      <c r="Q26" s="14">
        <v>100</v>
      </c>
      <c r="R26" s="14">
        <v>1</v>
      </c>
      <c r="S26" s="14">
        <v>0</v>
      </c>
      <c r="T26" s="14">
        <v>0</v>
      </c>
      <c r="U26" s="10">
        <f t="shared" si="3"/>
        <v>82.5</v>
      </c>
    </row>
  </sheetData>
  <mergeCells count="14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A5:A6"/>
    <mergeCell ref="U5:U6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4"/>
  <sheetViews>
    <sheetView zoomScale="90" zoomScaleNormal="90" workbookViewId="0">
      <selection activeCell="L7" sqref="L7:L26"/>
    </sheetView>
  </sheetViews>
  <sheetFormatPr defaultColWidth="8.89090909090909" defaultRowHeight="15"/>
  <cols>
    <col min="1" max="1" width="15.6636363636364" style="19" customWidth="1"/>
    <col min="2" max="3" width="8.33636363636364" style="19" customWidth="1"/>
    <col min="4" max="7" width="6.10909090909091" style="19" customWidth="1"/>
    <col min="8" max="8" width="8.33636363636364" style="19" customWidth="1"/>
    <col min="9" max="9" width="18.1090909090909" style="19" customWidth="1"/>
    <col min="10" max="10" width="10.6636363636364" style="19" customWidth="1"/>
    <col min="11" max="12" width="8.33636363636364" style="19" customWidth="1"/>
    <col min="13" max="16" width="6.10909090909091" style="19" customWidth="1"/>
    <col min="17" max="17" width="8.33636363636364" style="19" customWidth="1"/>
    <col min="18" max="18" width="10.6636363636364" style="19" customWidth="1"/>
    <col min="19" max="19" width="18.1090909090909" style="19" customWidth="1"/>
    <col min="20" max="21" width="10.6636363636364" style="19" customWidth="1"/>
    <col min="22" max="16384" width="8.89090909090909" style="19"/>
  </cols>
  <sheetData>
    <row r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S4" s="1"/>
      <c r="T4" s="16" t="s">
        <v>6</v>
      </c>
      <c r="U4" s="17"/>
    </row>
    <row r="5" spans="1:21">
      <c r="A5" s="10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pans="1:21">
      <c r="A6" s="10" t="s">
        <v>62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pans="1:21">
      <c r="A7" s="10" t="s">
        <v>346</v>
      </c>
      <c r="B7" s="11">
        <f>60+E7*10</f>
        <v>60</v>
      </c>
      <c r="C7" s="11">
        <f t="shared" ref="C7:C10" si="0">20+E7*5</f>
        <v>20</v>
      </c>
      <c r="D7" s="11">
        <v>800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 t="shared" ref="J7:J26" si="1">(B7-L7)*(G7/H7)</f>
        <v>55</v>
      </c>
      <c r="K7" s="15">
        <f>55+N7*10</f>
        <v>55</v>
      </c>
      <c r="L7" s="15">
        <f t="shared" ref="L7:L10" si="2">5+N7*5</f>
        <v>5</v>
      </c>
      <c r="M7" s="15">
        <v>150</v>
      </c>
      <c r="N7" s="15">
        <v>0</v>
      </c>
      <c r="O7" s="14">
        <v>0</v>
      </c>
      <c r="P7" s="14">
        <f t="shared" ref="P7:P26" si="3">Q7-J7</f>
        <v>45</v>
      </c>
      <c r="Q7" s="14">
        <v>100</v>
      </c>
      <c r="R7" s="14">
        <v>1</v>
      </c>
      <c r="S7" s="14">
        <v>0</v>
      </c>
      <c r="T7" s="14">
        <v>0</v>
      </c>
      <c r="U7" s="10">
        <f t="shared" ref="U7:U26" si="4">(M7*(N7/3+1)*(J7*R7+S7)-(D7*(E7/3+1))*(T7+I7))/100</f>
        <v>82.5</v>
      </c>
    </row>
    <row r="8" spans="1:21">
      <c r="A8" s="10" t="s">
        <v>347</v>
      </c>
      <c r="B8" s="11">
        <f t="shared" ref="B8:B26" si="5">60+E8*10</f>
        <v>60</v>
      </c>
      <c r="C8" s="11">
        <f t="shared" ref="C8:C14" si="6">10+E8*5</f>
        <v>10</v>
      </c>
      <c r="D8" s="11">
        <v>800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>(B8+10-L8)*(G8/H8)</f>
        <v>65</v>
      </c>
      <c r="K8" s="15">
        <f t="shared" ref="K8:K13" si="7">50+N8*10</f>
        <v>50</v>
      </c>
      <c r="L8" s="15">
        <f t="shared" si="2"/>
        <v>5</v>
      </c>
      <c r="M8" s="14">
        <v>200</v>
      </c>
      <c r="N8" s="15">
        <v>0</v>
      </c>
      <c r="O8" s="14">
        <v>0</v>
      </c>
      <c r="P8" s="14">
        <f t="shared" si="3"/>
        <v>35</v>
      </c>
      <c r="Q8" s="14">
        <v>100</v>
      </c>
      <c r="R8" s="14">
        <v>1</v>
      </c>
      <c r="S8" s="14">
        <v>0</v>
      </c>
      <c r="T8" s="14">
        <v>0</v>
      </c>
      <c r="U8" s="10">
        <f t="shared" si="4"/>
        <v>130</v>
      </c>
    </row>
    <row r="9" spans="1:21">
      <c r="A9" s="10" t="s">
        <v>348</v>
      </c>
      <c r="B9" s="11">
        <f t="shared" si="5"/>
        <v>60</v>
      </c>
      <c r="C9" s="11">
        <f t="shared" si="0"/>
        <v>20</v>
      </c>
      <c r="D9" s="11">
        <v>800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>(B9-L9)*(G9/H9)</f>
        <v>60</v>
      </c>
      <c r="K9" s="15">
        <f>40+N9*10</f>
        <v>40</v>
      </c>
      <c r="L9" s="15">
        <f t="shared" ref="L9:L14" si="8">0+N9*5</f>
        <v>0</v>
      </c>
      <c r="M9" s="14">
        <v>200</v>
      </c>
      <c r="N9" s="15">
        <v>0</v>
      </c>
      <c r="O9" s="14">
        <v>0</v>
      </c>
      <c r="P9" s="14">
        <f t="shared" si="3"/>
        <v>40</v>
      </c>
      <c r="Q9" s="14">
        <v>100</v>
      </c>
      <c r="R9" s="14">
        <v>1</v>
      </c>
      <c r="S9" s="14">
        <v>0</v>
      </c>
      <c r="T9" s="14">
        <v>0</v>
      </c>
      <c r="U9" s="10">
        <f t="shared" si="4"/>
        <v>120</v>
      </c>
    </row>
    <row r="10" spans="1:21">
      <c r="A10" s="10" t="s">
        <v>349</v>
      </c>
      <c r="B10" s="11">
        <f t="shared" si="5"/>
        <v>60</v>
      </c>
      <c r="C10" s="11">
        <f t="shared" si="0"/>
        <v>20</v>
      </c>
      <c r="D10" s="11">
        <v>800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1"/>
        <v>55</v>
      </c>
      <c r="K10" s="15">
        <f>45+N10*10</f>
        <v>45</v>
      </c>
      <c r="L10" s="15">
        <f t="shared" si="2"/>
        <v>5</v>
      </c>
      <c r="M10" s="14">
        <v>250</v>
      </c>
      <c r="N10" s="15">
        <v>0</v>
      </c>
      <c r="O10" s="14">
        <v>0</v>
      </c>
      <c r="P10" s="14">
        <f t="shared" si="3"/>
        <v>45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4"/>
        <v>137.5</v>
      </c>
    </row>
    <row r="11" spans="1:21">
      <c r="A11" s="10" t="s">
        <v>350</v>
      </c>
      <c r="B11" s="11">
        <f t="shared" si="5"/>
        <v>60</v>
      </c>
      <c r="C11" s="11">
        <f t="shared" si="6"/>
        <v>10</v>
      </c>
      <c r="D11" s="11">
        <v>800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1"/>
        <v>20</v>
      </c>
      <c r="K11" s="15">
        <f t="shared" si="7"/>
        <v>50</v>
      </c>
      <c r="L11" s="15">
        <f>40+N11*5</f>
        <v>40</v>
      </c>
      <c r="M11" s="14">
        <v>250</v>
      </c>
      <c r="N11" s="15">
        <v>0</v>
      </c>
      <c r="O11" s="14">
        <v>0</v>
      </c>
      <c r="P11" s="14">
        <f t="shared" si="3"/>
        <v>80</v>
      </c>
      <c r="Q11" s="14">
        <f>100+N11*5</f>
        <v>100</v>
      </c>
      <c r="R11" s="14">
        <v>1</v>
      </c>
      <c r="S11" s="14">
        <v>0</v>
      </c>
      <c r="T11" s="14">
        <v>0</v>
      </c>
      <c r="U11" s="10">
        <f t="shared" si="4"/>
        <v>50</v>
      </c>
    </row>
    <row r="12" spans="1:21">
      <c r="A12" s="10" t="s">
        <v>351</v>
      </c>
      <c r="B12" s="11">
        <f t="shared" si="5"/>
        <v>60</v>
      </c>
      <c r="C12" s="11">
        <f t="shared" ref="C12:C19" si="9">20+E12*5</f>
        <v>20</v>
      </c>
      <c r="D12" s="11">
        <v>800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1"/>
        <v>45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3"/>
        <v>55</v>
      </c>
      <c r="Q12" s="14">
        <v>100</v>
      </c>
      <c r="R12" s="14">
        <v>1</v>
      </c>
      <c r="S12" s="14">
        <v>0</v>
      </c>
      <c r="T12" s="14">
        <v>0</v>
      </c>
      <c r="U12" s="10">
        <f t="shared" si="4"/>
        <v>135</v>
      </c>
    </row>
    <row r="13" spans="1:21">
      <c r="A13" s="10" t="s">
        <v>352</v>
      </c>
      <c r="B13" s="11">
        <f t="shared" si="5"/>
        <v>60</v>
      </c>
      <c r="C13" s="11">
        <f t="shared" si="6"/>
        <v>10</v>
      </c>
      <c r="D13" s="11">
        <v>800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1"/>
        <v>60</v>
      </c>
      <c r="K13" s="15">
        <f t="shared" si="7"/>
        <v>50</v>
      </c>
      <c r="L13" s="15">
        <f t="shared" si="8"/>
        <v>0</v>
      </c>
      <c r="M13" s="14">
        <v>300</v>
      </c>
      <c r="N13" s="15">
        <v>0</v>
      </c>
      <c r="O13" s="14">
        <v>0</v>
      </c>
      <c r="P13" s="14">
        <f t="shared" si="3"/>
        <v>40</v>
      </c>
      <c r="Q13" s="14">
        <v>100</v>
      </c>
      <c r="R13" s="14">
        <v>1</v>
      </c>
      <c r="S13" s="14">
        <v>0</v>
      </c>
      <c r="T13" s="14">
        <f>(K13-C13)*(P13/Q13)</f>
        <v>16</v>
      </c>
      <c r="U13" s="10">
        <f t="shared" si="4"/>
        <v>52</v>
      </c>
    </row>
    <row r="14" spans="1:21">
      <c r="A14" s="10" t="s">
        <v>353</v>
      </c>
      <c r="B14" s="11">
        <f t="shared" si="5"/>
        <v>60</v>
      </c>
      <c r="C14" s="11">
        <f t="shared" si="6"/>
        <v>10</v>
      </c>
      <c r="D14" s="11">
        <v>800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1"/>
        <v>60</v>
      </c>
      <c r="K14" s="15">
        <f>45+N14*5</f>
        <v>45</v>
      </c>
      <c r="L14" s="15">
        <f t="shared" si="8"/>
        <v>0</v>
      </c>
      <c r="M14" s="14">
        <v>400</v>
      </c>
      <c r="N14" s="15">
        <v>0</v>
      </c>
      <c r="O14" s="14">
        <v>0</v>
      </c>
      <c r="P14" s="14">
        <f t="shared" si="3"/>
        <v>40</v>
      </c>
      <c r="Q14" s="14">
        <v>100</v>
      </c>
      <c r="R14" s="14">
        <v>1</v>
      </c>
      <c r="S14" s="14">
        <v>0</v>
      </c>
      <c r="T14" s="14">
        <v>0</v>
      </c>
      <c r="U14" s="10">
        <f t="shared" si="4"/>
        <v>240</v>
      </c>
    </row>
    <row r="15" spans="1:21">
      <c r="A15" s="10" t="s">
        <v>354</v>
      </c>
      <c r="B15" s="11">
        <f t="shared" si="5"/>
        <v>60</v>
      </c>
      <c r="C15" s="11">
        <f t="shared" si="9"/>
        <v>20</v>
      </c>
      <c r="D15" s="11">
        <v>800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1"/>
        <v>50</v>
      </c>
      <c r="K15" s="15">
        <f>50+N15*5</f>
        <v>50</v>
      </c>
      <c r="L15" s="15">
        <f>10+N15*5</f>
        <v>10</v>
      </c>
      <c r="M15" s="14">
        <v>400</v>
      </c>
      <c r="N15" s="15">
        <v>0</v>
      </c>
      <c r="O15" s="14">
        <v>0</v>
      </c>
      <c r="P15" s="14">
        <f t="shared" si="3"/>
        <v>50</v>
      </c>
      <c r="Q15" s="14">
        <v>100</v>
      </c>
      <c r="R15" s="14">
        <v>1</v>
      </c>
      <c r="S15" s="14">
        <v>0</v>
      </c>
      <c r="T15" s="14">
        <v>0</v>
      </c>
      <c r="U15" s="10">
        <f t="shared" si="4"/>
        <v>200</v>
      </c>
    </row>
    <row r="16" spans="1:21">
      <c r="A16" s="10" t="s">
        <v>355</v>
      </c>
      <c r="B16" s="11">
        <f t="shared" si="5"/>
        <v>60</v>
      </c>
      <c r="C16" s="11">
        <f t="shared" ref="C16:C21" si="10">10+E16*5</f>
        <v>10</v>
      </c>
      <c r="D16" s="11">
        <v>800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>(B16+10-L16)*(G16/H16)</f>
        <v>50</v>
      </c>
      <c r="K16" s="15">
        <f>55+N16*5</f>
        <v>55</v>
      </c>
      <c r="L16" s="15">
        <f t="shared" ref="L16:L18" si="11">20+N16*5</f>
        <v>20</v>
      </c>
      <c r="M16" s="14">
        <v>500</v>
      </c>
      <c r="N16" s="15">
        <v>0</v>
      </c>
      <c r="O16" s="14">
        <v>0</v>
      </c>
      <c r="P16" s="14">
        <f t="shared" si="3"/>
        <v>50</v>
      </c>
      <c r="Q16" s="14">
        <v>100</v>
      </c>
      <c r="R16" s="14">
        <v>1</v>
      </c>
      <c r="S16" s="14">
        <v>0</v>
      </c>
      <c r="T16" s="14">
        <v>0</v>
      </c>
      <c r="U16" s="10">
        <f t="shared" si="4"/>
        <v>250</v>
      </c>
    </row>
    <row r="17" spans="1:21">
      <c r="A17" s="10" t="s">
        <v>356</v>
      </c>
      <c r="B17" s="11">
        <f t="shared" si="5"/>
        <v>60</v>
      </c>
      <c r="C17" s="11">
        <f t="shared" si="9"/>
        <v>20</v>
      </c>
      <c r="D17" s="11">
        <v>800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1"/>
        <v>40</v>
      </c>
      <c r="K17" s="14">
        <f>70+N17*10</f>
        <v>70</v>
      </c>
      <c r="L17" s="14">
        <f t="shared" si="11"/>
        <v>20</v>
      </c>
      <c r="M17" s="14">
        <v>500</v>
      </c>
      <c r="N17" s="14">
        <v>0</v>
      </c>
      <c r="O17" s="14">
        <v>0</v>
      </c>
      <c r="P17" s="14">
        <f t="shared" si="3"/>
        <v>60</v>
      </c>
      <c r="Q17" s="14">
        <v>100</v>
      </c>
      <c r="R17" s="14">
        <v>1</v>
      </c>
      <c r="S17" s="14">
        <v>0</v>
      </c>
      <c r="T17" s="14">
        <f>(K17-C17)*1</f>
        <v>50</v>
      </c>
      <c r="U17" s="10">
        <f t="shared" si="4"/>
        <v>-200</v>
      </c>
    </row>
    <row r="18" spans="1:21">
      <c r="A18" s="10" t="s">
        <v>357</v>
      </c>
      <c r="B18" s="11">
        <f t="shared" si="5"/>
        <v>60</v>
      </c>
      <c r="C18" s="11">
        <f t="shared" si="9"/>
        <v>20</v>
      </c>
      <c r="D18" s="11">
        <v>800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1"/>
        <v>40</v>
      </c>
      <c r="K18" s="14">
        <f>75+N18*10</f>
        <v>75</v>
      </c>
      <c r="L18" s="14">
        <f t="shared" si="11"/>
        <v>20</v>
      </c>
      <c r="M18" s="14">
        <v>600</v>
      </c>
      <c r="N18" s="15">
        <v>0</v>
      </c>
      <c r="O18" s="14">
        <v>0</v>
      </c>
      <c r="P18" s="14">
        <f t="shared" si="3"/>
        <v>60</v>
      </c>
      <c r="Q18" s="14">
        <v>100</v>
      </c>
      <c r="R18" s="14">
        <v>1</v>
      </c>
      <c r="S18" s="14">
        <v>0</v>
      </c>
      <c r="T18" s="14">
        <v>0</v>
      </c>
      <c r="U18" s="10">
        <f t="shared" si="4"/>
        <v>240</v>
      </c>
    </row>
    <row r="19" spans="1:21">
      <c r="A19" s="10" t="s">
        <v>358</v>
      </c>
      <c r="B19" s="11">
        <f t="shared" si="5"/>
        <v>60</v>
      </c>
      <c r="C19" s="11">
        <f t="shared" si="9"/>
        <v>20</v>
      </c>
      <c r="D19" s="11">
        <v>800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1"/>
        <v>30</v>
      </c>
      <c r="K19" s="14">
        <f>55+N19*5</f>
        <v>55</v>
      </c>
      <c r="L19" s="14">
        <f>30+N19*5</f>
        <v>30</v>
      </c>
      <c r="M19" s="14">
        <v>600</v>
      </c>
      <c r="N19" s="14">
        <v>0</v>
      </c>
      <c r="O19" s="14">
        <v>0</v>
      </c>
      <c r="P19" s="14">
        <f t="shared" si="3"/>
        <v>70</v>
      </c>
      <c r="Q19" s="14">
        <f>100+N19*25</f>
        <v>100</v>
      </c>
      <c r="R19" s="14">
        <v>1</v>
      </c>
      <c r="S19" s="14">
        <v>0</v>
      </c>
      <c r="T19" s="14">
        <v>0</v>
      </c>
      <c r="U19" s="10">
        <f t="shared" si="4"/>
        <v>180</v>
      </c>
    </row>
    <row r="20" spans="1:21">
      <c r="A20" s="10" t="s">
        <v>359</v>
      </c>
      <c r="B20" s="11">
        <f t="shared" si="5"/>
        <v>60</v>
      </c>
      <c r="C20" s="11">
        <f t="shared" si="10"/>
        <v>10</v>
      </c>
      <c r="D20" s="11">
        <v>800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1"/>
        <v>50</v>
      </c>
      <c r="K20" s="14">
        <f>55+N20*10</f>
        <v>55</v>
      </c>
      <c r="L20" s="14">
        <f>10+N20*5</f>
        <v>10</v>
      </c>
      <c r="M20" s="14">
        <v>600</v>
      </c>
      <c r="N20" s="15">
        <v>0</v>
      </c>
      <c r="O20" s="14">
        <v>0</v>
      </c>
      <c r="P20" s="14">
        <f t="shared" si="3"/>
        <v>50</v>
      </c>
      <c r="Q20" s="14">
        <f>100+N20*10</f>
        <v>100</v>
      </c>
      <c r="R20" s="14">
        <v>1</v>
      </c>
      <c r="S20" s="14">
        <v>0</v>
      </c>
      <c r="T20" s="14">
        <v>0</v>
      </c>
      <c r="U20" s="10">
        <f t="shared" si="4"/>
        <v>300</v>
      </c>
    </row>
    <row r="21" spans="1:21">
      <c r="A21" s="10" t="s">
        <v>360</v>
      </c>
      <c r="B21" s="11">
        <f t="shared" si="5"/>
        <v>60</v>
      </c>
      <c r="C21" s="11">
        <f t="shared" si="10"/>
        <v>10</v>
      </c>
      <c r="D21" s="11">
        <v>800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1"/>
        <v>60</v>
      </c>
      <c r="K21" s="14">
        <f>40+N21*5</f>
        <v>40</v>
      </c>
      <c r="L21" s="14">
        <f>0+N21*5</f>
        <v>0</v>
      </c>
      <c r="M21" s="14">
        <v>600</v>
      </c>
      <c r="N21" s="14">
        <v>0</v>
      </c>
      <c r="O21" s="14">
        <v>0</v>
      </c>
      <c r="P21" s="14">
        <f t="shared" si="3"/>
        <v>40</v>
      </c>
      <c r="Q21" s="14">
        <v>100</v>
      </c>
      <c r="R21" s="14">
        <v>1</v>
      </c>
      <c r="S21" s="14">
        <v>0</v>
      </c>
      <c r="T21" s="14">
        <v>0</v>
      </c>
      <c r="U21" s="10">
        <f t="shared" si="4"/>
        <v>360</v>
      </c>
    </row>
    <row r="22" spans="1:21">
      <c r="A22" s="10" t="s">
        <v>361</v>
      </c>
      <c r="B22" s="11">
        <f t="shared" si="5"/>
        <v>60</v>
      </c>
      <c r="C22" s="11">
        <f t="shared" ref="C22:C26" si="12">20+E22*5</f>
        <v>20</v>
      </c>
      <c r="D22" s="11">
        <v>800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1"/>
        <v>55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3"/>
        <v>45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4"/>
        <v>440</v>
      </c>
    </row>
    <row r="23" spans="1:21">
      <c r="A23" s="10" t="s">
        <v>362</v>
      </c>
      <c r="B23" s="11">
        <f t="shared" si="5"/>
        <v>60</v>
      </c>
      <c r="C23" s="11">
        <f t="shared" si="12"/>
        <v>20</v>
      </c>
      <c r="D23" s="11">
        <v>800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1"/>
        <v>40</v>
      </c>
      <c r="K23" s="14">
        <f>60+N23*10</f>
        <v>60</v>
      </c>
      <c r="L23" s="14">
        <f>20+N23*5</f>
        <v>20</v>
      </c>
      <c r="M23" s="14">
        <v>800</v>
      </c>
      <c r="N23" s="14">
        <v>0</v>
      </c>
      <c r="O23" s="14">
        <v>0</v>
      </c>
      <c r="P23" s="14">
        <f t="shared" si="3"/>
        <v>60</v>
      </c>
      <c r="Q23" s="14">
        <v>100</v>
      </c>
      <c r="R23" s="14">
        <v>1</v>
      </c>
      <c r="S23" s="14">
        <v>0</v>
      </c>
      <c r="T23" s="14">
        <f>(K23-C23)*(P23/Q23)</f>
        <v>24</v>
      </c>
      <c r="U23" s="10">
        <f t="shared" si="4"/>
        <v>128</v>
      </c>
    </row>
    <row r="24" spans="1:21">
      <c r="A24" s="10" t="s">
        <v>363</v>
      </c>
      <c r="B24" s="11">
        <f t="shared" si="5"/>
        <v>60</v>
      </c>
      <c r="C24" s="11">
        <f>10+E24*5</f>
        <v>10</v>
      </c>
      <c r="D24" s="11">
        <v>800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>(B24+10-L24)*(G24/H24)</f>
        <v>45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3"/>
        <v>55</v>
      </c>
      <c r="Q24" s="14">
        <v>100</v>
      </c>
      <c r="R24" s="14">
        <v>1</v>
      </c>
      <c r="S24" s="14">
        <v>0</v>
      </c>
      <c r="T24" s="14">
        <v>0</v>
      </c>
      <c r="U24" s="10">
        <f t="shared" si="4"/>
        <v>450</v>
      </c>
    </row>
    <row r="25" spans="1:21">
      <c r="A25" s="10" t="s">
        <v>364</v>
      </c>
      <c r="B25" s="11">
        <f t="shared" si="5"/>
        <v>60</v>
      </c>
      <c r="C25" s="11">
        <f t="shared" si="12"/>
        <v>20</v>
      </c>
      <c r="D25" s="11">
        <v>800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1"/>
        <v>40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3"/>
        <v>60</v>
      </c>
      <c r="Q25" s="14">
        <v>100</v>
      </c>
      <c r="R25" s="14">
        <v>1</v>
      </c>
      <c r="S25" s="14">
        <v>0</v>
      </c>
      <c r="T25" s="14">
        <v>0</v>
      </c>
      <c r="U25" s="10">
        <f t="shared" si="4"/>
        <v>240</v>
      </c>
    </row>
    <row r="26" spans="1:21">
      <c r="A26" s="10" t="s">
        <v>365</v>
      </c>
      <c r="B26" s="11">
        <f t="shared" si="5"/>
        <v>60</v>
      </c>
      <c r="C26" s="11">
        <f t="shared" si="12"/>
        <v>20</v>
      </c>
      <c r="D26" s="11">
        <v>800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1"/>
        <v>55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3"/>
        <v>45</v>
      </c>
      <c r="Q26" s="14">
        <v>100</v>
      </c>
      <c r="R26" s="14">
        <v>1</v>
      </c>
      <c r="S26" s="14">
        <v>0</v>
      </c>
      <c r="T26" s="14">
        <v>0</v>
      </c>
      <c r="U26" s="10">
        <f t="shared" si="4"/>
        <v>82.5</v>
      </c>
    </row>
    <row r="28" spans="1:21">
      <c r="A28" s="10" t="s">
        <v>7</v>
      </c>
      <c r="B28" s="8" t="s">
        <v>8</v>
      </c>
      <c r="C28" s="8"/>
      <c r="D28" s="8"/>
      <c r="E28" s="8"/>
      <c r="F28" s="8"/>
      <c r="G28" s="8"/>
      <c r="H28" s="8"/>
      <c r="I28" s="8"/>
      <c r="J28" s="8"/>
      <c r="K28" s="14" t="s">
        <v>9</v>
      </c>
      <c r="L28" s="14"/>
      <c r="M28" s="14"/>
      <c r="N28" s="14"/>
      <c r="O28" s="14"/>
      <c r="P28" s="14"/>
      <c r="Q28" s="14"/>
      <c r="R28" s="14"/>
      <c r="S28" s="14"/>
      <c r="T28" s="18"/>
      <c r="U28" s="10" t="s">
        <v>10</v>
      </c>
    </row>
    <row r="29" spans="1:21">
      <c r="A29" s="10" t="s">
        <v>83</v>
      </c>
      <c r="B29" s="8" t="s">
        <v>11</v>
      </c>
      <c r="C29" s="8" t="s">
        <v>12</v>
      </c>
      <c r="D29" s="8" t="s">
        <v>13</v>
      </c>
      <c r="E29" s="8" t="s">
        <v>14</v>
      </c>
      <c r="F29" s="8" t="s">
        <v>15</v>
      </c>
      <c r="G29" s="8" t="s">
        <v>16</v>
      </c>
      <c r="H29" s="8" t="s">
        <v>17</v>
      </c>
      <c r="I29" s="8" t="s">
        <v>18</v>
      </c>
      <c r="J29" s="8" t="s">
        <v>19</v>
      </c>
      <c r="K29" s="14" t="s">
        <v>11</v>
      </c>
      <c r="L29" s="14" t="s">
        <v>12</v>
      </c>
      <c r="M29" s="14" t="s">
        <v>13</v>
      </c>
      <c r="N29" s="14" t="s">
        <v>14</v>
      </c>
      <c r="O29" s="14" t="s">
        <v>15</v>
      </c>
      <c r="P29" s="14" t="s">
        <v>16</v>
      </c>
      <c r="Q29" s="14" t="s">
        <v>17</v>
      </c>
      <c r="R29" s="14" t="s">
        <v>20</v>
      </c>
      <c r="S29" s="14" t="s">
        <v>18</v>
      </c>
      <c r="T29" s="18" t="s">
        <v>21</v>
      </c>
      <c r="U29" s="10"/>
    </row>
    <row r="30" spans="1:21">
      <c r="A30" s="10" t="s">
        <v>352</v>
      </c>
      <c r="B30" s="11">
        <f t="shared" ref="B30:B33" si="13">60+E30*10</f>
        <v>60</v>
      </c>
      <c r="C30" s="11">
        <f>10+E30*5</f>
        <v>10</v>
      </c>
      <c r="D30" s="11">
        <v>800</v>
      </c>
      <c r="E30" s="11">
        <v>0</v>
      </c>
      <c r="F30" s="8">
        <v>0</v>
      </c>
      <c r="G30" s="8">
        <v>100</v>
      </c>
      <c r="H30" s="8">
        <v>100</v>
      </c>
      <c r="I30" s="8">
        <v>0</v>
      </c>
      <c r="J30" s="8">
        <v>60</v>
      </c>
      <c r="K30" s="15">
        <f>50+N30*10</f>
        <v>50</v>
      </c>
      <c r="L30" s="15">
        <f>0+N30*5</f>
        <v>0</v>
      </c>
      <c r="M30" s="14">
        <v>300</v>
      </c>
      <c r="N30" s="15">
        <v>0</v>
      </c>
      <c r="O30" s="14">
        <v>0</v>
      </c>
      <c r="P30" s="14">
        <v>40</v>
      </c>
      <c r="Q30" s="14">
        <v>100</v>
      </c>
      <c r="R30" s="14">
        <v>1</v>
      </c>
      <c r="S30" s="14">
        <v>0</v>
      </c>
      <c r="T30" s="14">
        <v>0</v>
      </c>
      <c r="U30" s="10">
        <v>180</v>
      </c>
    </row>
    <row r="31" spans="1:21">
      <c r="A31" s="10" t="s">
        <v>358</v>
      </c>
      <c r="B31" s="11">
        <f t="shared" si="13"/>
        <v>60</v>
      </c>
      <c r="C31" s="11">
        <f>20+E31*5</f>
        <v>20</v>
      </c>
      <c r="D31" s="11">
        <v>800</v>
      </c>
      <c r="E31" s="11">
        <v>0</v>
      </c>
      <c r="F31" s="8">
        <v>0</v>
      </c>
      <c r="G31" s="8">
        <v>100</v>
      </c>
      <c r="H31" s="8">
        <v>100</v>
      </c>
      <c r="I31" s="8">
        <v>0</v>
      </c>
      <c r="J31" s="8">
        <v>15</v>
      </c>
      <c r="K31" s="14">
        <f>55+N31*5</f>
        <v>55</v>
      </c>
      <c r="L31" s="14">
        <f>30+N31*5</f>
        <v>30</v>
      </c>
      <c r="M31" s="14">
        <v>600</v>
      </c>
      <c r="N31" s="14">
        <v>0</v>
      </c>
      <c r="O31" s="14">
        <v>0</v>
      </c>
      <c r="P31" s="14">
        <v>85</v>
      </c>
      <c r="Q31" s="14">
        <f>100+N31*25</f>
        <v>100</v>
      </c>
      <c r="R31" s="14">
        <v>1</v>
      </c>
      <c r="S31" s="14">
        <v>0</v>
      </c>
      <c r="T31" s="14">
        <v>0</v>
      </c>
      <c r="U31" s="10">
        <v>90</v>
      </c>
    </row>
    <row r="32" spans="1:21">
      <c r="A32" s="10" t="s">
        <v>362</v>
      </c>
      <c r="B32" s="11">
        <f t="shared" si="13"/>
        <v>60</v>
      </c>
      <c r="C32" s="11">
        <f>20+E32*5</f>
        <v>20</v>
      </c>
      <c r="D32" s="11">
        <v>800</v>
      </c>
      <c r="E32" s="11">
        <v>0</v>
      </c>
      <c r="F32" s="8">
        <v>0</v>
      </c>
      <c r="G32" s="8">
        <v>100</v>
      </c>
      <c r="H32" s="8">
        <v>100</v>
      </c>
      <c r="I32" s="8">
        <v>0</v>
      </c>
      <c r="J32" s="8">
        <v>40</v>
      </c>
      <c r="K32" s="14">
        <f>60+N32*10</f>
        <v>60</v>
      </c>
      <c r="L32" s="14">
        <f>20+N32*5</f>
        <v>20</v>
      </c>
      <c r="M32" s="14">
        <v>800</v>
      </c>
      <c r="N32" s="14">
        <v>0</v>
      </c>
      <c r="O32" s="14">
        <v>0</v>
      </c>
      <c r="P32" s="14">
        <v>60</v>
      </c>
      <c r="Q32" s="14">
        <v>100</v>
      </c>
      <c r="R32" s="14">
        <v>1</v>
      </c>
      <c r="S32" s="14">
        <v>0</v>
      </c>
      <c r="T32" s="14">
        <v>0</v>
      </c>
      <c r="U32" s="10">
        <v>320</v>
      </c>
    </row>
    <row r="33" spans="1:21">
      <c r="A33" s="10" t="s">
        <v>363</v>
      </c>
      <c r="B33" s="11">
        <f t="shared" si="13"/>
        <v>60</v>
      </c>
      <c r="C33" s="11">
        <f>10+E33*5</f>
        <v>10</v>
      </c>
      <c r="D33" s="11">
        <v>800</v>
      </c>
      <c r="E33" s="11">
        <v>0</v>
      </c>
      <c r="F33" s="8">
        <v>0</v>
      </c>
      <c r="G33" s="8">
        <v>100</v>
      </c>
      <c r="H33" s="8">
        <v>100</v>
      </c>
      <c r="I33" s="8">
        <v>0</v>
      </c>
      <c r="J33" s="8">
        <v>17.5</v>
      </c>
      <c r="K33" s="14">
        <f>70+N33*10</f>
        <v>70</v>
      </c>
      <c r="L33" s="14">
        <f>25+N33*5</f>
        <v>25</v>
      </c>
      <c r="M33" s="14">
        <v>1000</v>
      </c>
      <c r="N33" s="15">
        <v>0</v>
      </c>
      <c r="O33" s="14">
        <v>0</v>
      </c>
      <c r="P33" s="14">
        <v>82.5</v>
      </c>
      <c r="Q33" s="14">
        <v>100</v>
      </c>
      <c r="R33" s="14">
        <v>1</v>
      </c>
      <c r="S33" s="14">
        <v>0</v>
      </c>
      <c r="T33" s="14">
        <v>0</v>
      </c>
      <c r="U33" s="10">
        <v>175</v>
      </c>
    </row>
    <row r="34" spans="1:2">
      <c r="A34" s="21" t="s">
        <v>165</v>
      </c>
      <c r="B34" s="21"/>
    </row>
  </sheetData>
  <mergeCells count="17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B28:J28"/>
    <mergeCell ref="K28:T28"/>
    <mergeCell ref="A34:B34"/>
    <mergeCell ref="U5:U6"/>
    <mergeCell ref="U28:U29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9"/>
  <sheetViews>
    <sheetView zoomScale="90" zoomScaleNormal="90" workbookViewId="0">
      <selection activeCell="L47" sqref="L47"/>
    </sheetView>
  </sheetViews>
  <sheetFormatPr defaultColWidth="8.89090909090909" defaultRowHeight="15"/>
  <cols>
    <col min="1" max="1" width="15.6636363636364" style="19" customWidth="1"/>
    <col min="2" max="3" width="8.33636363636364" style="19" customWidth="1"/>
    <col min="4" max="7" width="6.10909090909091" style="19" customWidth="1"/>
    <col min="8" max="8" width="8.33636363636364" style="19" customWidth="1"/>
    <col min="9" max="9" width="18.1090909090909" style="19" customWidth="1"/>
    <col min="10" max="10" width="10.6636363636364" style="19" customWidth="1"/>
    <col min="11" max="12" width="8.33636363636364" style="19" customWidth="1"/>
    <col min="13" max="16" width="6.10909090909091" style="19" customWidth="1"/>
    <col min="17" max="17" width="8.33636363636364" style="19" customWidth="1"/>
    <col min="18" max="18" width="10.6636363636364" style="19" customWidth="1"/>
    <col min="19" max="19" width="18.1090909090909" style="19" customWidth="1"/>
    <col min="20" max="21" width="10.6636363636364" style="19" customWidth="1"/>
    <col min="22" max="16384" width="8.89090909090909" style="19"/>
  </cols>
  <sheetData>
    <row r="1" s="19" customForma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9" customForma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="19" customFormat="1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9" customFormat="1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S4" s="1"/>
      <c r="T4" s="16" t="s">
        <v>6</v>
      </c>
      <c r="U4" s="17"/>
    </row>
    <row r="5" s="19" customFormat="1" spans="1:21">
      <c r="A5" s="10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="19" customFormat="1" spans="1:21">
      <c r="A6" s="10" t="s">
        <v>62</v>
      </c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="19" customFormat="1" spans="1:21">
      <c r="A7" s="10" t="s">
        <v>366</v>
      </c>
      <c r="B7" s="11">
        <f>70+E7*10</f>
        <v>70</v>
      </c>
      <c r="C7" s="11">
        <f>25+E7*5</f>
        <v>25</v>
      </c>
      <c r="D7" s="11">
        <v>1000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>(B7-L7)*(G7/H7)*1.5</f>
        <v>97.5</v>
      </c>
      <c r="K7" s="15">
        <f>55+N7*10</f>
        <v>55</v>
      </c>
      <c r="L7" s="15">
        <f>5+N7*5</f>
        <v>5</v>
      </c>
      <c r="M7" s="15">
        <v>150</v>
      </c>
      <c r="N7" s="15">
        <v>0</v>
      </c>
      <c r="O7" s="14">
        <v>0</v>
      </c>
      <c r="P7" s="14">
        <f t="shared" ref="P7:P26" si="0">Q7-J7</f>
        <v>2.5</v>
      </c>
      <c r="Q7" s="14">
        <v>100</v>
      </c>
      <c r="R7" s="14">
        <v>1</v>
      </c>
      <c r="S7" s="14">
        <v>0</v>
      </c>
      <c r="T7" s="14">
        <f t="shared" ref="T7:T9" si="1">(K7-C7)*(P7/Q7)</f>
        <v>0.75</v>
      </c>
      <c r="U7" s="10">
        <f t="shared" ref="U7:U26" si="2">(M7*(N7/3+1)*(J7*R7+S7)-(D7*(E7/3+1))*(T7+I7))/100</f>
        <v>138.75</v>
      </c>
    </row>
    <row r="8" s="19" customFormat="1" spans="1:21">
      <c r="A8" s="10" t="s">
        <v>367</v>
      </c>
      <c r="B8" s="11">
        <f t="shared" ref="B8:B26" si="3">70+E8*10</f>
        <v>70</v>
      </c>
      <c r="C8" s="11">
        <f t="shared" ref="C8:C26" si="4">25+E8*5</f>
        <v>25</v>
      </c>
      <c r="D8" s="11">
        <v>1000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ref="J8:J26" si="5">(B8-L8)*(G8/H8)*1.5</f>
        <v>82.5</v>
      </c>
      <c r="K8" s="15">
        <f t="shared" ref="K8:K13" si="6">50+N8*10</f>
        <v>50</v>
      </c>
      <c r="L8" s="15">
        <f>15+N8*5</f>
        <v>15</v>
      </c>
      <c r="M8" s="14">
        <v>200</v>
      </c>
      <c r="N8" s="15">
        <v>0</v>
      </c>
      <c r="O8" s="14">
        <v>0</v>
      </c>
      <c r="P8" s="14">
        <f t="shared" si="0"/>
        <v>17.5</v>
      </c>
      <c r="Q8" s="14">
        <v>100</v>
      </c>
      <c r="R8" s="14">
        <v>1</v>
      </c>
      <c r="S8" s="14">
        <v>0</v>
      </c>
      <c r="T8" s="14">
        <f t="shared" si="1"/>
        <v>4.375</v>
      </c>
      <c r="U8" s="10">
        <f t="shared" si="2"/>
        <v>121.25</v>
      </c>
    </row>
    <row r="9" s="19" customFormat="1" spans="1:21">
      <c r="A9" s="10" t="s">
        <v>368</v>
      </c>
      <c r="B9" s="11">
        <f t="shared" si="3"/>
        <v>70</v>
      </c>
      <c r="C9" s="11">
        <f t="shared" si="4"/>
        <v>25</v>
      </c>
      <c r="D9" s="11">
        <v>1000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5"/>
        <v>105</v>
      </c>
      <c r="K9" s="15">
        <f>40+N9*10</f>
        <v>40</v>
      </c>
      <c r="L9" s="15">
        <f>0+N9*5</f>
        <v>0</v>
      </c>
      <c r="M9" s="14">
        <v>200</v>
      </c>
      <c r="N9" s="15">
        <v>0</v>
      </c>
      <c r="O9" s="14">
        <v>0</v>
      </c>
      <c r="P9" s="14">
        <f t="shared" si="0"/>
        <v>-5</v>
      </c>
      <c r="Q9" s="14">
        <v>100</v>
      </c>
      <c r="R9" s="14">
        <v>1</v>
      </c>
      <c r="S9" s="14">
        <v>0</v>
      </c>
      <c r="T9" s="14">
        <f t="shared" si="1"/>
        <v>-0.75</v>
      </c>
      <c r="U9" s="10">
        <f t="shared" si="2"/>
        <v>217.5</v>
      </c>
    </row>
    <row r="10" s="19" customFormat="1" spans="1:21">
      <c r="A10" s="10" t="s">
        <v>369</v>
      </c>
      <c r="B10" s="11">
        <f t="shared" si="3"/>
        <v>70</v>
      </c>
      <c r="C10" s="11">
        <f t="shared" si="4"/>
        <v>25</v>
      </c>
      <c r="D10" s="11">
        <v>1000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5"/>
        <v>97.5</v>
      </c>
      <c r="K10" s="15">
        <f>45+N10*10</f>
        <v>45</v>
      </c>
      <c r="L10" s="15">
        <f>5+N10*5</f>
        <v>5</v>
      </c>
      <c r="M10" s="14">
        <v>250</v>
      </c>
      <c r="N10" s="15">
        <v>0</v>
      </c>
      <c r="O10" s="14">
        <v>0</v>
      </c>
      <c r="P10" s="14">
        <f t="shared" si="0"/>
        <v>2.5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2"/>
        <v>243.75</v>
      </c>
    </row>
    <row r="11" s="19" customFormat="1" spans="1:21">
      <c r="A11" s="10" t="s">
        <v>370</v>
      </c>
      <c r="B11" s="11">
        <f t="shared" si="3"/>
        <v>70</v>
      </c>
      <c r="C11" s="11">
        <f t="shared" si="4"/>
        <v>25</v>
      </c>
      <c r="D11" s="11">
        <v>1000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5"/>
        <v>120</v>
      </c>
      <c r="K11" s="15">
        <f t="shared" si="6"/>
        <v>50</v>
      </c>
      <c r="L11" s="15">
        <f>-10+N11*5</f>
        <v>-10</v>
      </c>
      <c r="M11" s="14">
        <v>250</v>
      </c>
      <c r="N11" s="15">
        <v>0</v>
      </c>
      <c r="O11" s="14">
        <v>0</v>
      </c>
      <c r="P11" s="14">
        <f t="shared" si="0"/>
        <v>-20</v>
      </c>
      <c r="Q11" s="14">
        <f>100+N11*5</f>
        <v>100</v>
      </c>
      <c r="R11" s="14">
        <v>1</v>
      </c>
      <c r="S11" s="14">
        <v>0</v>
      </c>
      <c r="T11" s="14">
        <f t="shared" ref="T11:T16" si="7">(K11-C11)*(P11/Q11)</f>
        <v>-5</v>
      </c>
      <c r="U11" s="10">
        <f t="shared" si="2"/>
        <v>350</v>
      </c>
    </row>
    <row r="12" s="19" customFormat="1" spans="1:21">
      <c r="A12" s="10" t="s">
        <v>371</v>
      </c>
      <c r="B12" s="11">
        <f t="shared" si="3"/>
        <v>70</v>
      </c>
      <c r="C12" s="11">
        <f t="shared" si="4"/>
        <v>25</v>
      </c>
      <c r="D12" s="11">
        <v>1000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5"/>
        <v>82.5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0"/>
        <v>17.5</v>
      </c>
      <c r="Q12" s="14">
        <v>100</v>
      </c>
      <c r="R12" s="14">
        <v>1</v>
      </c>
      <c r="S12" s="14">
        <v>0</v>
      </c>
      <c r="T12" s="14">
        <f t="shared" si="7"/>
        <v>6.125</v>
      </c>
      <c r="U12" s="10">
        <f t="shared" si="2"/>
        <v>186.25</v>
      </c>
    </row>
    <row r="13" s="19" customFormat="1" spans="1:21">
      <c r="A13" s="10" t="s">
        <v>372</v>
      </c>
      <c r="B13" s="11">
        <f t="shared" si="3"/>
        <v>70</v>
      </c>
      <c r="C13" s="11">
        <f t="shared" si="4"/>
        <v>25</v>
      </c>
      <c r="D13" s="11">
        <v>1000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5"/>
        <v>75</v>
      </c>
      <c r="K13" s="15">
        <f t="shared" si="6"/>
        <v>50</v>
      </c>
      <c r="L13" s="15">
        <f>20+N13*5</f>
        <v>20</v>
      </c>
      <c r="M13" s="14">
        <v>300</v>
      </c>
      <c r="N13" s="15">
        <v>0</v>
      </c>
      <c r="O13" s="14">
        <v>0</v>
      </c>
      <c r="P13" s="14">
        <f t="shared" si="0"/>
        <v>25</v>
      </c>
      <c r="Q13" s="14">
        <v>100</v>
      </c>
      <c r="R13" s="14">
        <v>1</v>
      </c>
      <c r="S13" s="14">
        <v>0</v>
      </c>
      <c r="T13" s="14">
        <f t="shared" si="7"/>
        <v>6.25</v>
      </c>
      <c r="U13" s="10">
        <f t="shared" si="2"/>
        <v>162.5</v>
      </c>
    </row>
    <row r="14" s="19" customFormat="1" spans="1:21">
      <c r="A14" s="10" t="s">
        <v>373</v>
      </c>
      <c r="B14" s="11">
        <f t="shared" si="3"/>
        <v>70</v>
      </c>
      <c r="C14" s="11">
        <f t="shared" si="4"/>
        <v>25</v>
      </c>
      <c r="D14" s="11">
        <v>1000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5"/>
        <v>45</v>
      </c>
      <c r="K14" s="15">
        <f>45+N14*5</f>
        <v>45</v>
      </c>
      <c r="L14" s="15">
        <f>40+N14*5</f>
        <v>40</v>
      </c>
      <c r="M14" s="14">
        <v>400</v>
      </c>
      <c r="N14" s="15">
        <v>0</v>
      </c>
      <c r="O14" s="14">
        <v>0</v>
      </c>
      <c r="P14" s="14">
        <f t="shared" si="0"/>
        <v>55</v>
      </c>
      <c r="Q14" s="14">
        <v>100</v>
      </c>
      <c r="R14" s="14">
        <v>1</v>
      </c>
      <c r="S14" s="14">
        <v>0</v>
      </c>
      <c r="T14" s="14">
        <f t="shared" si="7"/>
        <v>11</v>
      </c>
      <c r="U14" s="10">
        <f t="shared" si="2"/>
        <v>70</v>
      </c>
    </row>
    <row r="15" s="19" customFormat="1" spans="1:21">
      <c r="A15" s="10" t="s">
        <v>374</v>
      </c>
      <c r="B15" s="11">
        <f t="shared" si="3"/>
        <v>70</v>
      </c>
      <c r="C15" s="11">
        <f t="shared" si="4"/>
        <v>25</v>
      </c>
      <c r="D15" s="11">
        <v>1000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5"/>
        <v>90</v>
      </c>
      <c r="K15" s="15">
        <f>50+N15*5</f>
        <v>50</v>
      </c>
      <c r="L15" s="15">
        <f t="shared" ref="L15:L19" si="8">10+N15*5</f>
        <v>10</v>
      </c>
      <c r="M15" s="14">
        <v>400</v>
      </c>
      <c r="N15" s="15">
        <v>0</v>
      </c>
      <c r="O15" s="14">
        <v>0</v>
      </c>
      <c r="P15" s="14">
        <f t="shared" si="0"/>
        <v>10</v>
      </c>
      <c r="Q15" s="14">
        <v>100</v>
      </c>
      <c r="R15" s="14">
        <v>1</v>
      </c>
      <c r="S15" s="14">
        <v>0</v>
      </c>
      <c r="T15" s="14">
        <f t="shared" si="7"/>
        <v>2.5</v>
      </c>
      <c r="U15" s="10">
        <f t="shared" si="2"/>
        <v>335</v>
      </c>
    </row>
    <row r="16" s="19" customFormat="1" spans="1:21">
      <c r="A16" s="10" t="s">
        <v>375</v>
      </c>
      <c r="B16" s="11">
        <f t="shared" si="3"/>
        <v>70</v>
      </c>
      <c r="C16" s="11">
        <f t="shared" si="4"/>
        <v>25</v>
      </c>
      <c r="D16" s="11">
        <v>1000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5"/>
        <v>60</v>
      </c>
      <c r="K16" s="15">
        <f>55+N16*5</f>
        <v>55</v>
      </c>
      <c r="L16" s="15">
        <f>30+N16*5</f>
        <v>30</v>
      </c>
      <c r="M16" s="14">
        <v>500</v>
      </c>
      <c r="N16" s="15">
        <v>0</v>
      </c>
      <c r="O16" s="14">
        <v>0</v>
      </c>
      <c r="P16" s="14">
        <f t="shared" si="0"/>
        <v>40</v>
      </c>
      <c r="Q16" s="14">
        <v>100</v>
      </c>
      <c r="R16" s="14">
        <v>1</v>
      </c>
      <c r="S16" s="14">
        <v>0</v>
      </c>
      <c r="T16" s="14">
        <f t="shared" si="7"/>
        <v>12</v>
      </c>
      <c r="U16" s="10">
        <f t="shared" si="2"/>
        <v>180</v>
      </c>
    </row>
    <row r="17" s="19" customFormat="1" spans="1:21">
      <c r="A17" s="10" t="s">
        <v>376</v>
      </c>
      <c r="B17" s="11">
        <f t="shared" si="3"/>
        <v>70</v>
      </c>
      <c r="C17" s="11">
        <f t="shared" si="4"/>
        <v>25</v>
      </c>
      <c r="D17" s="11">
        <v>1000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5"/>
        <v>90</v>
      </c>
      <c r="K17" s="14">
        <f>70+N17*10</f>
        <v>70</v>
      </c>
      <c r="L17" s="14">
        <f t="shared" si="8"/>
        <v>10</v>
      </c>
      <c r="M17" s="14">
        <v>500</v>
      </c>
      <c r="N17" s="14">
        <v>0</v>
      </c>
      <c r="O17" s="14">
        <v>0</v>
      </c>
      <c r="P17" s="14">
        <f t="shared" si="0"/>
        <v>10</v>
      </c>
      <c r="Q17" s="14">
        <v>100</v>
      </c>
      <c r="R17" s="14">
        <v>1</v>
      </c>
      <c r="S17" s="14">
        <v>0</v>
      </c>
      <c r="T17" s="14">
        <f>(K17-C17)*1</f>
        <v>45</v>
      </c>
      <c r="U17" s="10">
        <f t="shared" si="2"/>
        <v>0</v>
      </c>
    </row>
    <row r="18" s="19" customFormat="1" spans="1:21">
      <c r="A18" s="10" t="s">
        <v>377</v>
      </c>
      <c r="B18" s="11">
        <f t="shared" si="3"/>
        <v>70</v>
      </c>
      <c r="C18" s="11">
        <f t="shared" si="4"/>
        <v>25</v>
      </c>
      <c r="D18" s="11">
        <v>1000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5"/>
        <v>90</v>
      </c>
      <c r="K18" s="14">
        <f>75+N18*10</f>
        <v>75</v>
      </c>
      <c r="L18" s="14">
        <f t="shared" si="8"/>
        <v>10</v>
      </c>
      <c r="M18" s="14">
        <v>600</v>
      </c>
      <c r="N18" s="15">
        <v>0</v>
      </c>
      <c r="O18" s="14">
        <v>0</v>
      </c>
      <c r="P18" s="14">
        <f t="shared" si="0"/>
        <v>10</v>
      </c>
      <c r="Q18" s="14">
        <v>100</v>
      </c>
      <c r="R18" s="14">
        <v>1</v>
      </c>
      <c r="S18" s="14">
        <v>0</v>
      </c>
      <c r="T18" s="14">
        <f t="shared" ref="T18:T21" si="9">(K18-C18)*(P18/Q18)</f>
        <v>5</v>
      </c>
      <c r="U18" s="10">
        <f t="shared" si="2"/>
        <v>490</v>
      </c>
    </row>
    <row r="19" s="19" customFormat="1" spans="1:21">
      <c r="A19" s="10" t="s">
        <v>378</v>
      </c>
      <c r="B19" s="11">
        <f t="shared" si="3"/>
        <v>70</v>
      </c>
      <c r="C19" s="11">
        <f t="shared" si="4"/>
        <v>25</v>
      </c>
      <c r="D19" s="11">
        <v>1000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5"/>
        <v>90</v>
      </c>
      <c r="K19" s="14">
        <f>55+N19*5</f>
        <v>55</v>
      </c>
      <c r="L19" s="14">
        <f t="shared" si="8"/>
        <v>10</v>
      </c>
      <c r="M19" s="14">
        <v>600</v>
      </c>
      <c r="N19" s="14">
        <v>0</v>
      </c>
      <c r="O19" s="14">
        <v>0</v>
      </c>
      <c r="P19" s="14">
        <f t="shared" si="0"/>
        <v>10</v>
      </c>
      <c r="Q19" s="14">
        <f>100+N19*25</f>
        <v>100</v>
      </c>
      <c r="R19" s="14">
        <v>1</v>
      </c>
      <c r="S19" s="14">
        <v>0</v>
      </c>
      <c r="T19" s="14">
        <f t="shared" si="9"/>
        <v>3</v>
      </c>
      <c r="U19" s="10">
        <f t="shared" si="2"/>
        <v>510</v>
      </c>
    </row>
    <row r="20" s="19" customFormat="1" spans="1:21">
      <c r="A20" s="10" t="s">
        <v>379</v>
      </c>
      <c r="B20" s="11">
        <f t="shared" si="3"/>
        <v>70</v>
      </c>
      <c r="C20" s="11">
        <f t="shared" si="4"/>
        <v>25</v>
      </c>
      <c r="D20" s="11">
        <v>1000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5"/>
        <v>75</v>
      </c>
      <c r="K20" s="14">
        <f>55+N20*10</f>
        <v>55</v>
      </c>
      <c r="L20" s="14">
        <f>20+N20*5</f>
        <v>20</v>
      </c>
      <c r="M20" s="14">
        <v>600</v>
      </c>
      <c r="N20" s="15">
        <v>0</v>
      </c>
      <c r="O20" s="14">
        <v>0</v>
      </c>
      <c r="P20" s="14">
        <f t="shared" si="0"/>
        <v>25</v>
      </c>
      <c r="Q20" s="14">
        <f>100+N20*10</f>
        <v>100</v>
      </c>
      <c r="R20" s="14">
        <v>1</v>
      </c>
      <c r="S20" s="14">
        <v>0</v>
      </c>
      <c r="T20" s="14">
        <f t="shared" si="9"/>
        <v>7.5</v>
      </c>
      <c r="U20" s="10">
        <f t="shared" si="2"/>
        <v>375</v>
      </c>
    </row>
    <row r="21" s="19" customFormat="1" spans="1:21">
      <c r="A21" s="10" t="s">
        <v>380</v>
      </c>
      <c r="B21" s="11">
        <f t="shared" si="3"/>
        <v>70</v>
      </c>
      <c r="C21" s="11">
        <f t="shared" si="4"/>
        <v>25</v>
      </c>
      <c r="D21" s="11">
        <v>1000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5"/>
        <v>60</v>
      </c>
      <c r="K21" s="14">
        <f>40+N21*5</f>
        <v>40</v>
      </c>
      <c r="L21" s="14">
        <f>30+N21*5</f>
        <v>30</v>
      </c>
      <c r="M21" s="14">
        <v>600</v>
      </c>
      <c r="N21" s="14">
        <v>0</v>
      </c>
      <c r="O21" s="14">
        <v>0</v>
      </c>
      <c r="P21" s="14">
        <f t="shared" si="0"/>
        <v>40</v>
      </c>
      <c r="Q21" s="14">
        <v>100</v>
      </c>
      <c r="R21" s="14">
        <v>1</v>
      </c>
      <c r="S21" s="14">
        <v>0</v>
      </c>
      <c r="T21" s="14">
        <f t="shared" si="9"/>
        <v>6</v>
      </c>
      <c r="U21" s="10">
        <f t="shared" si="2"/>
        <v>300</v>
      </c>
    </row>
    <row r="22" s="19" customFormat="1" spans="1:21">
      <c r="A22" s="10" t="s">
        <v>381</v>
      </c>
      <c r="B22" s="11">
        <f t="shared" si="3"/>
        <v>70</v>
      </c>
      <c r="C22" s="11">
        <f t="shared" si="4"/>
        <v>25</v>
      </c>
      <c r="D22" s="11">
        <v>1000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5"/>
        <v>97.5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0"/>
        <v>2.5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2"/>
        <v>780</v>
      </c>
    </row>
    <row r="23" s="19" customFormat="1" spans="1:21">
      <c r="A23" s="10" t="s">
        <v>382</v>
      </c>
      <c r="B23" s="11">
        <f t="shared" si="3"/>
        <v>70</v>
      </c>
      <c r="C23" s="11">
        <f t="shared" si="4"/>
        <v>25</v>
      </c>
      <c r="D23" s="11">
        <v>1000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5"/>
        <v>90</v>
      </c>
      <c r="K23" s="14">
        <f>60+N23*10</f>
        <v>60</v>
      </c>
      <c r="L23" s="14">
        <f>10+N23*5</f>
        <v>10</v>
      </c>
      <c r="M23" s="14">
        <v>800</v>
      </c>
      <c r="N23" s="14">
        <v>0</v>
      </c>
      <c r="O23" s="14">
        <v>0</v>
      </c>
      <c r="P23" s="14">
        <f t="shared" si="0"/>
        <v>10</v>
      </c>
      <c r="Q23" s="14">
        <v>100</v>
      </c>
      <c r="R23" s="14">
        <v>1</v>
      </c>
      <c r="S23" s="14">
        <v>0</v>
      </c>
      <c r="T23" s="14">
        <f t="shared" ref="T23:T26" si="10">(K23-C23)*(P23/Q23)</f>
        <v>3.5</v>
      </c>
      <c r="U23" s="10">
        <f t="shared" si="2"/>
        <v>685</v>
      </c>
    </row>
    <row r="24" s="19" customFormat="1" spans="1:21">
      <c r="A24" s="10" t="s">
        <v>383</v>
      </c>
      <c r="B24" s="11">
        <f t="shared" si="3"/>
        <v>70</v>
      </c>
      <c r="C24" s="11">
        <f t="shared" si="4"/>
        <v>25</v>
      </c>
      <c r="D24" s="11">
        <v>1000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5"/>
        <v>67.5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0"/>
        <v>32.5</v>
      </c>
      <c r="Q24" s="14">
        <v>100</v>
      </c>
      <c r="R24" s="14">
        <v>1</v>
      </c>
      <c r="S24" s="14">
        <v>0</v>
      </c>
      <c r="T24" s="14">
        <f>(K24-C24)*(P24/Q24)*1.5</f>
        <v>21.9375</v>
      </c>
      <c r="U24" s="10">
        <f t="shared" si="2"/>
        <v>455.625</v>
      </c>
    </row>
    <row r="25" s="19" customFormat="1" spans="1:21">
      <c r="A25" s="10" t="s">
        <v>384</v>
      </c>
      <c r="B25" s="11">
        <f t="shared" si="3"/>
        <v>70</v>
      </c>
      <c r="C25" s="11">
        <f t="shared" si="4"/>
        <v>25</v>
      </c>
      <c r="D25" s="11">
        <v>1000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5"/>
        <v>75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0"/>
        <v>25</v>
      </c>
      <c r="Q25" s="14">
        <v>100</v>
      </c>
      <c r="R25" s="14">
        <v>1</v>
      </c>
      <c r="S25" s="14">
        <v>0</v>
      </c>
      <c r="T25" s="14">
        <f t="shared" si="10"/>
        <v>8.75</v>
      </c>
      <c r="U25" s="10">
        <f t="shared" si="2"/>
        <v>362.5</v>
      </c>
    </row>
    <row r="26" s="19" customFormat="1" spans="1:21">
      <c r="A26" s="10" t="s">
        <v>385</v>
      </c>
      <c r="B26" s="11">
        <f t="shared" si="3"/>
        <v>70</v>
      </c>
      <c r="C26" s="11">
        <f t="shared" si="4"/>
        <v>25</v>
      </c>
      <c r="D26" s="11">
        <v>1000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5"/>
        <v>97.5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0"/>
        <v>2.5</v>
      </c>
      <c r="Q26" s="14">
        <v>100</v>
      </c>
      <c r="R26" s="14">
        <v>1</v>
      </c>
      <c r="S26" s="14">
        <v>0</v>
      </c>
      <c r="T26" s="14">
        <f t="shared" si="10"/>
        <v>0.375</v>
      </c>
      <c r="U26" s="10">
        <f t="shared" si="2"/>
        <v>142.5</v>
      </c>
    </row>
    <row r="27" s="19" customFormat="1" spans="1:1">
      <c r="A27" s="20"/>
    </row>
    <row r="28" s="19" customFormat="1" spans="1:21">
      <c r="A28" s="10" t="s">
        <v>7</v>
      </c>
      <c r="B28" s="8" t="s">
        <v>8</v>
      </c>
      <c r="C28" s="8"/>
      <c r="D28" s="8"/>
      <c r="E28" s="8"/>
      <c r="F28" s="8"/>
      <c r="G28" s="8"/>
      <c r="H28" s="8"/>
      <c r="I28" s="8"/>
      <c r="J28" s="8"/>
      <c r="K28" s="14" t="s">
        <v>9</v>
      </c>
      <c r="L28" s="14"/>
      <c r="M28" s="14"/>
      <c r="N28" s="14"/>
      <c r="O28" s="14"/>
      <c r="P28" s="14"/>
      <c r="Q28" s="14"/>
      <c r="R28" s="14"/>
      <c r="S28" s="14"/>
      <c r="T28" s="18"/>
      <c r="U28" s="10" t="s">
        <v>10</v>
      </c>
    </row>
    <row r="29" s="19" customFormat="1" spans="1:21">
      <c r="A29" s="10" t="s">
        <v>83</v>
      </c>
      <c r="B29" s="8" t="s">
        <v>11</v>
      </c>
      <c r="C29" s="8" t="s">
        <v>12</v>
      </c>
      <c r="D29" s="8" t="s">
        <v>13</v>
      </c>
      <c r="E29" s="8" t="s">
        <v>14</v>
      </c>
      <c r="F29" s="8" t="s">
        <v>15</v>
      </c>
      <c r="G29" s="8" t="s">
        <v>16</v>
      </c>
      <c r="H29" s="8" t="s">
        <v>17</v>
      </c>
      <c r="I29" s="8" t="s">
        <v>18</v>
      </c>
      <c r="J29" s="8" t="s">
        <v>19</v>
      </c>
      <c r="K29" s="14" t="s">
        <v>11</v>
      </c>
      <c r="L29" s="14" t="s">
        <v>12</v>
      </c>
      <c r="M29" s="14" t="s">
        <v>13</v>
      </c>
      <c r="N29" s="14" t="s">
        <v>14</v>
      </c>
      <c r="O29" s="14" t="s">
        <v>15</v>
      </c>
      <c r="P29" s="14" t="s">
        <v>16</v>
      </c>
      <c r="Q29" s="14" t="s">
        <v>17</v>
      </c>
      <c r="R29" s="14" t="s">
        <v>20</v>
      </c>
      <c r="S29" s="14" t="s">
        <v>18</v>
      </c>
      <c r="T29" s="18" t="s">
        <v>21</v>
      </c>
      <c r="U29" s="10"/>
    </row>
    <row r="30" s="19" customFormat="1" spans="1:21">
      <c r="A30" s="10" t="s">
        <v>366</v>
      </c>
      <c r="B30" s="11">
        <f t="shared" ref="B30:B49" si="11">70+E30*10</f>
        <v>70</v>
      </c>
      <c r="C30" s="11">
        <f t="shared" ref="C30:C49" si="12">25+E30*5</f>
        <v>25</v>
      </c>
      <c r="D30" s="11">
        <v>1000</v>
      </c>
      <c r="E30" s="11">
        <v>0</v>
      </c>
      <c r="F30" s="8">
        <v>0</v>
      </c>
      <c r="G30" s="8">
        <v>100</v>
      </c>
      <c r="H30" s="8">
        <v>100</v>
      </c>
      <c r="I30" s="8">
        <v>0</v>
      </c>
      <c r="J30" s="8">
        <f t="shared" ref="J30:J41" si="13">(B30-L30)*(G30/H30)</f>
        <v>65</v>
      </c>
      <c r="K30" s="15">
        <f>55+N30*10</f>
        <v>55</v>
      </c>
      <c r="L30" s="15">
        <f>5+N30*5</f>
        <v>5</v>
      </c>
      <c r="M30" s="15">
        <v>150</v>
      </c>
      <c r="N30" s="15">
        <v>0</v>
      </c>
      <c r="O30" s="14">
        <v>0</v>
      </c>
      <c r="P30" s="14">
        <f t="shared" ref="P30:P49" si="14">Q30-J30</f>
        <v>35</v>
      </c>
      <c r="Q30" s="14">
        <v>100</v>
      </c>
      <c r="R30" s="14">
        <v>1</v>
      </c>
      <c r="S30" s="14">
        <v>0</v>
      </c>
      <c r="T30" s="14">
        <v>0</v>
      </c>
      <c r="U30" s="10">
        <f t="shared" ref="U30:U49" si="15">(M30*(N30/3+1)*(J30*R30+S30)-(D30*(E30/3+1))*(T30+I30))/100</f>
        <v>97.5</v>
      </c>
    </row>
    <row r="31" s="19" customFormat="1" spans="1:21">
      <c r="A31" s="10" t="s">
        <v>367</v>
      </c>
      <c r="B31" s="11">
        <f t="shared" si="11"/>
        <v>70</v>
      </c>
      <c r="C31" s="11">
        <f t="shared" si="12"/>
        <v>25</v>
      </c>
      <c r="D31" s="11">
        <v>1000</v>
      </c>
      <c r="E31" s="11">
        <v>0</v>
      </c>
      <c r="F31" s="8">
        <v>0</v>
      </c>
      <c r="G31" s="8">
        <v>100</v>
      </c>
      <c r="H31" s="8">
        <v>100</v>
      </c>
      <c r="I31" s="8">
        <v>0</v>
      </c>
      <c r="J31" s="8">
        <f t="shared" si="13"/>
        <v>55</v>
      </c>
      <c r="K31" s="15">
        <f t="shared" ref="K31:K36" si="16">50+N31*10</f>
        <v>50</v>
      </c>
      <c r="L31" s="15">
        <f>15+N31*5</f>
        <v>15</v>
      </c>
      <c r="M31" s="14">
        <v>200</v>
      </c>
      <c r="N31" s="15">
        <v>0</v>
      </c>
      <c r="O31" s="14">
        <v>0</v>
      </c>
      <c r="P31" s="14">
        <f t="shared" si="14"/>
        <v>45</v>
      </c>
      <c r="Q31" s="14">
        <v>100</v>
      </c>
      <c r="R31" s="14">
        <v>1</v>
      </c>
      <c r="S31" s="14">
        <v>0</v>
      </c>
      <c r="T31" s="14">
        <v>0</v>
      </c>
      <c r="U31" s="10">
        <f t="shared" si="15"/>
        <v>110</v>
      </c>
    </row>
    <row r="32" s="19" customFormat="1" spans="1:21">
      <c r="A32" s="10" t="s">
        <v>368</v>
      </c>
      <c r="B32" s="11">
        <f t="shared" si="11"/>
        <v>70</v>
      </c>
      <c r="C32" s="11">
        <f t="shared" si="12"/>
        <v>25</v>
      </c>
      <c r="D32" s="11">
        <v>1000</v>
      </c>
      <c r="E32" s="11">
        <v>0</v>
      </c>
      <c r="F32" s="8">
        <v>0</v>
      </c>
      <c r="G32" s="8">
        <v>100</v>
      </c>
      <c r="H32" s="8">
        <v>100</v>
      </c>
      <c r="I32" s="8">
        <v>0</v>
      </c>
      <c r="J32" s="8">
        <f t="shared" si="13"/>
        <v>70</v>
      </c>
      <c r="K32" s="15">
        <f>40+N32*10</f>
        <v>40</v>
      </c>
      <c r="L32" s="15">
        <f>0+N32*5</f>
        <v>0</v>
      </c>
      <c r="M32" s="14">
        <v>200</v>
      </c>
      <c r="N32" s="15">
        <v>0</v>
      </c>
      <c r="O32" s="14">
        <v>0</v>
      </c>
      <c r="P32" s="14">
        <f t="shared" si="14"/>
        <v>30</v>
      </c>
      <c r="Q32" s="14">
        <v>100</v>
      </c>
      <c r="R32" s="14">
        <v>1</v>
      </c>
      <c r="S32" s="14">
        <v>0</v>
      </c>
      <c r="T32" s="14">
        <v>0</v>
      </c>
      <c r="U32" s="10">
        <f t="shared" si="15"/>
        <v>140</v>
      </c>
    </row>
    <row r="33" s="19" customFormat="1" spans="1:21">
      <c r="A33" s="10" t="s">
        <v>369</v>
      </c>
      <c r="B33" s="11">
        <f t="shared" si="11"/>
        <v>70</v>
      </c>
      <c r="C33" s="11">
        <f t="shared" si="12"/>
        <v>25</v>
      </c>
      <c r="D33" s="11">
        <v>1000</v>
      </c>
      <c r="E33" s="11">
        <v>0</v>
      </c>
      <c r="F33" s="8">
        <v>0</v>
      </c>
      <c r="G33" s="8">
        <v>100</v>
      </c>
      <c r="H33" s="8">
        <v>100</v>
      </c>
      <c r="I33" s="8">
        <v>0</v>
      </c>
      <c r="J33" s="8">
        <f t="shared" si="13"/>
        <v>65</v>
      </c>
      <c r="K33" s="15">
        <f>45+N33*10</f>
        <v>45</v>
      </c>
      <c r="L33" s="15">
        <f>5+N33*5</f>
        <v>5</v>
      </c>
      <c r="M33" s="14">
        <v>250</v>
      </c>
      <c r="N33" s="15">
        <v>0</v>
      </c>
      <c r="O33" s="14">
        <v>0</v>
      </c>
      <c r="P33" s="14">
        <f t="shared" si="14"/>
        <v>35</v>
      </c>
      <c r="Q33" s="14">
        <v>100</v>
      </c>
      <c r="R33" s="14">
        <v>1</v>
      </c>
      <c r="S33" s="14">
        <v>0</v>
      </c>
      <c r="T33" s="14">
        <v>0</v>
      </c>
      <c r="U33" s="10">
        <f t="shared" si="15"/>
        <v>162.5</v>
      </c>
    </row>
    <row r="34" s="19" customFormat="1" spans="1:21">
      <c r="A34" s="10" t="s">
        <v>370</v>
      </c>
      <c r="B34" s="11">
        <f t="shared" si="11"/>
        <v>70</v>
      </c>
      <c r="C34" s="11">
        <f t="shared" si="12"/>
        <v>25</v>
      </c>
      <c r="D34" s="11">
        <v>1000</v>
      </c>
      <c r="E34" s="11">
        <v>0</v>
      </c>
      <c r="F34" s="8">
        <v>0</v>
      </c>
      <c r="G34" s="8">
        <v>100</v>
      </c>
      <c r="H34" s="8">
        <v>100</v>
      </c>
      <c r="I34" s="8">
        <v>0</v>
      </c>
      <c r="J34" s="8">
        <f t="shared" si="13"/>
        <v>80</v>
      </c>
      <c r="K34" s="15">
        <f t="shared" si="16"/>
        <v>50</v>
      </c>
      <c r="L34" s="15">
        <f>-10+N34*5</f>
        <v>-10</v>
      </c>
      <c r="M34" s="14">
        <v>250</v>
      </c>
      <c r="N34" s="15">
        <v>0</v>
      </c>
      <c r="O34" s="14">
        <v>0</v>
      </c>
      <c r="P34" s="14">
        <f t="shared" si="14"/>
        <v>20</v>
      </c>
      <c r="Q34" s="14">
        <f>100+N34*5</f>
        <v>100</v>
      </c>
      <c r="R34" s="14">
        <v>1</v>
      </c>
      <c r="S34" s="14">
        <v>0</v>
      </c>
      <c r="T34" s="14">
        <v>0</v>
      </c>
      <c r="U34" s="10">
        <f t="shared" si="15"/>
        <v>200</v>
      </c>
    </row>
    <row r="35" s="19" customFormat="1" spans="1:21">
      <c r="A35" s="10" t="s">
        <v>371</v>
      </c>
      <c r="B35" s="11">
        <f t="shared" si="11"/>
        <v>70</v>
      </c>
      <c r="C35" s="11">
        <f t="shared" si="12"/>
        <v>25</v>
      </c>
      <c r="D35" s="11">
        <v>1000</v>
      </c>
      <c r="E35" s="11">
        <v>0</v>
      </c>
      <c r="F35" s="8">
        <v>0</v>
      </c>
      <c r="G35" s="8">
        <v>100</v>
      </c>
      <c r="H35" s="8">
        <v>100</v>
      </c>
      <c r="I35" s="8">
        <v>0</v>
      </c>
      <c r="J35" s="8">
        <f t="shared" si="13"/>
        <v>55</v>
      </c>
      <c r="K35" s="15">
        <f>60+N35*10</f>
        <v>60</v>
      </c>
      <c r="L35" s="15">
        <f>15+N35*5</f>
        <v>15</v>
      </c>
      <c r="M35" s="14">
        <v>300</v>
      </c>
      <c r="N35" s="15">
        <v>0</v>
      </c>
      <c r="O35" s="14">
        <v>0</v>
      </c>
      <c r="P35" s="14">
        <f t="shared" si="14"/>
        <v>45</v>
      </c>
      <c r="Q35" s="14">
        <v>100</v>
      </c>
      <c r="R35" s="14">
        <v>1</v>
      </c>
      <c r="S35" s="14">
        <v>0</v>
      </c>
      <c r="T35" s="14">
        <v>0</v>
      </c>
      <c r="U35" s="10">
        <f t="shared" si="15"/>
        <v>165</v>
      </c>
    </row>
    <row r="36" s="19" customFormat="1" spans="1:21">
      <c r="A36" s="10" t="s">
        <v>372</v>
      </c>
      <c r="B36" s="11">
        <f t="shared" si="11"/>
        <v>70</v>
      </c>
      <c r="C36" s="11">
        <f t="shared" si="12"/>
        <v>25</v>
      </c>
      <c r="D36" s="11">
        <v>1000</v>
      </c>
      <c r="E36" s="11">
        <v>0</v>
      </c>
      <c r="F36" s="8">
        <v>0</v>
      </c>
      <c r="G36" s="8">
        <v>100</v>
      </c>
      <c r="H36" s="8">
        <v>100</v>
      </c>
      <c r="I36" s="8">
        <v>0</v>
      </c>
      <c r="J36" s="8">
        <f t="shared" si="13"/>
        <v>50</v>
      </c>
      <c r="K36" s="15">
        <f t="shared" si="16"/>
        <v>50</v>
      </c>
      <c r="L36" s="15">
        <f>20+N36*5</f>
        <v>20</v>
      </c>
      <c r="M36" s="14">
        <v>300</v>
      </c>
      <c r="N36" s="15">
        <v>0</v>
      </c>
      <c r="O36" s="14">
        <v>0</v>
      </c>
      <c r="P36" s="14">
        <f t="shared" si="14"/>
        <v>50</v>
      </c>
      <c r="Q36" s="14">
        <v>100</v>
      </c>
      <c r="R36" s="14">
        <v>1</v>
      </c>
      <c r="S36" s="14">
        <v>0</v>
      </c>
      <c r="T36" s="14">
        <v>0</v>
      </c>
      <c r="U36" s="10">
        <f t="shared" si="15"/>
        <v>150</v>
      </c>
    </row>
    <row r="37" s="19" customFormat="1" spans="1:21">
      <c r="A37" s="10" t="s">
        <v>373</v>
      </c>
      <c r="B37" s="11">
        <f t="shared" si="11"/>
        <v>70</v>
      </c>
      <c r="C37" s="11">
        <f t="shared" si="12"/>
        <v>25</v>
      </c>
      <c r="D37" s="11">
        <v>1000</v>
      </c>
      <c r="E37" s="11">
        <v>0</v>
      </c>
      <c r="F37" s="8">
        <v>0</v>
      </c>
      <c r="G37" s="8">
        <v>100</v>
      </c>
      <c r="H37" s="8">
        <v>100</v>
      </c>
      <c r="I37" s="8">
        <v>0</v>
      </c>
      <c r="J37" s="8">
        <f t="shared" si="13"/>
        <v>30</v>
      </c>
      <c r="K37" s="15">
        <f>45+N37*5</f>
        <v>45</v>
      </c>
      <c r="L37" s="15">
        <f>40+N37*5</f>
        <v>40</v>
      </c>
      <c r="M37" s="14">
        <v>400</v>
      </c>
      <c r="N37" s="15">
        <v>0</v>
      </c>
      <c r="O37" s="14">
        <v>0</v>
      </c>
      <c r="P37" s="14">
        <f t="shared" si="14"/>
        <v>70</v>
      </c>
      <c r="Q37" s="14">
        <v>100</v>
      </c>
      <c r="R37" s="14">
        <v>1</v>
      </c>
      <c r="S37" s="14">
        <v>0</v>
      </c>
      <c r="T37" s="14">
        <v>0</v>
      </c>
      <c r="U37" s="10">
        <f t="shared" si="15"/>
        <v>120</v>
      </c>
    </row>
    <row r="38" s="19" customFormat="1" spans="1:21">
      <c r="A38" s="10" t="s">
        <v>374</v>
      </c>
      <c r="B38" s="11">
        <f t="shared" si="11"/>
        <v>70</v>
      </c>
      <c r="C38" s="11">
        <f t="shared" si="12"/>
        <v>25</v>
      </c>
      <c r="D38" s="11">
        <v>1000</v>
      </c>
      <c r="E38" s="11">
        <v>0</v>
      </c>
      <c r="F38" s="8">
        <v>0</v>
      </c>
      <c r="G38" s="8">
        <v>100</v>
      </c>
      <c r="H38" s="8">
        <v>100</v>
      </c>
      <c r="I38" s="8">
        <v>0</v>
      </c>
      <c r="J38" s="8">
        <f t="shared" si="13"/>
        <v>60</v>
      </c>
      <c r="K38" s="15">
        <f>50+N38*5</f>
        <v>50</v>
      </c>
      <c r="L38" s="15">
        <f t="shared" ref="L38:L42" si="17">10+N38*5</f>
        <v>10</v>
      </c>
      <c r="M38" s="14">
        <v>400</v>
      </c>
      <c r="N38" s="15">
        <v>0</v>
      </c>
      <c r="O38" s="14">
        <v>0</v>
      </c>
      <c r="P38" s="14">
        <f t="shared" si="14"/>
        <v>40</v>
      </c>
      <c r="Q38" s="14">
        <v>100</v>
      </c>
      <c r="R38" s="14">
        <v>1</v>
      </c>
      <c r="S38" s="14">
        <v>0</v>
      </c>
      <c r="T38" s="14">
        <v>0</v>
      </c>
      <c r="U38" s="10">
        <f t="shared" si="15"/>
        <v>240</v>
      </c>
    </row>
    <row r="39" s="19" customFormat="1" spans="1:21">
      <c r="A39" s="10" t="s">
        <v>375</v>
      </c>
      <c r="B39" s="11">
        <f t="shared" si="11"/>
        <v>70</v>
      </c>
      <c r="C39" s="11">
        <f t="shared" si="12"/>
        <v>25</v>
      </c>
      <c r="D39" s="11">
        <v>1000</v>
      </c>
      <c r="E39" s="11">
        <v>0</v>
      </c>
      <c r="F39" s="8">
        <v>0</v>
      </c>
      <c r="G39" s="8">
        <v>100</v>
      </c>
      <c r="H39" s="8">
        <v>100</v>
      </c>
      <c r="I39" s="8">
        <v>0</v>
      </c>
      <c r="J39" s="8">
        <f t="shared" si="13"/>
        <v>40</v>
      </c>
      <c r="K39" s="15">
        <f>55+N39*5</f>
        <v>55</v>
      </c>
      <c r="L39" s="15">
        <f>30+N39*5</f>
        <v>30</v>
      </c>
      <c r="M39" s="14">
        <v>500</v>
      </c>
      <c r="N39" s="15">
        <v>0</v>
      </c>
      <c r="O39" s="14">
        <v>0</v>
      </c>
      <c r="P39" s="14">
        <f t="shared" si="14"/>
        <v>60</v>
      </c>
      <c r="Q39" s="14">
        <v>100</v>
      </c>
      <c r="R39" s="14">
        <v>1</v>
      </c>
      <c r="S39" s="14">
        <v>0</v>
      </c>
      <c r="T39" s="14">
        <v>0</v>
      </c>
      <c r="U39" s="10">
        <f t="shared" si="15"/>
        <v>200</v>
      </c>
    </row>
    <row r="40" s="19" customFormat="1" spans="1:21">
      <c r="A40" s="10" t="s">
        <v>376</v>
      </c>
      <c r="B40" s="11">
        <f t="shared" si="11"/>
        <v>70</v>
      </c>
      <c r="C40" s="11">
        <f t="shared" si="12"/>
        <v>25</v>
      </c>
      <c r="D40" s="11">
        <v>1000</v>
      </c>
      <c r="E40" s="11">
        <v>0</v>
      </c>
      <c r="F40" s="8">
        <v>0</v>
      </c>
      <c r="G40" s="8">
        <v>100</v>
      </c>
      <c r="H40" s="8">
        <v>100</v>
      </c>
      <c r="I40" s="8">
        <v>0</v>
      </c>
      <c r="J40" s="8">
        <f t="shared" si="13"/>
        <v>60</v>
      </c>
      <c r="K40" s="14">
        <f>70+N40*10</f>
        <v>70</v>
      </c>
      <c r="L40" s="14">
        <f t="shared" si="17"/>
        <v>10</v>
      </c>
      <c r="M40" s="14">
        <v>500</v>
      </c>
      <c r="N40" s="14">
        <v>0</v>
      </c>
      <c r="O40" s="14">
        <v>0</v>
      </c>
      <c r="P40" s="14">
        <f t="shared" si="14"/>
        <v>40</v>
      </c>
      <c r="Q40" s="14">
        <v>100</v>
      </c>
      <c r="R40" s="14">
        <v>1</v>
      </c>
      <c r="S40" s="14">
        <v>0</v>
      </c>
      <c r="T40" s="14">
        <f>(K40-C40)*1</f>
        <v>45</v>
      </c>
      <c r="U40" s="10">
        <f t="shared" si="15"/>
        <v>-150</v>
      </c>
    </row>
    <row r="41" s="19" customFormat="1" spans="1:21">
      <c r="A41" s="10" t="s">
        <v>377</v>
      </c>
      <c r="B41" s="11">
        <f t="shared" si="11"/>
        <v>70</v>
      </c>
      <c r="C41" s="11">
        <f t="shared" si="12"/>
        <v>25</v>
      </c>
      <c r="D41" s="11">
        <v>1000</v>
      </c>
      <c r="E41" s="11">
        <v>0</v>
      </c>
      <c r="F41" s="8">
        <v>0</v>
      </c>
      <c r="G41" s="8">
        <v>100</v>
      </c>
      <c r="H41" s="8">
        <v>100</v>
      </c>
      <c r="I41" s="8">
        <v>0</v>
      </c>
      <c r="J41" s="8">
        <f t="shared" si="13"/>
        <v>60</v>
      </c>
      <c r="K41" s="14">
        <f>75+N41*10</f>
        <v>75</v>
      </c>
      <c r="L41" s="14">
        <f t="shared" si="17"/>
        <v>10</v>
      </c>
      <c r="M41" s="14">
        <v>600</v>
      </c>
      <c r="N41" s="15">
        <v>0</v>
      </c>
      <c r="O41" s="14">
        <v>0</v>
      </c>
      <c r="P41" s="14">
        <f t="shared" si="14"/>
        <v>40</v>
      </c>
      <c r="Q41" s="14">
        <v>100</v>
      </c>
      <c r="R41" s="14">
        <v>1</v>
      </c>
      <c r="S41" s="14">
        <v>0</v>
      </c>
      <c r="T41" s="14">
        <v>0</v>
      </c>
      <c r="U41" s="10">
        <f t="shared" si="15"/>
        <v>360</v>
      </c>
    </row>
    <row r="42" s="19" customFormat="1" spans="1:21">
      <c r="A42" s="10" t="s">
        <v>378</v>
      </c>
      <c r="B42" s="11">
        <f t="shared" si="11"/>
        <v>70</v>
      </c>
      <c r="C42" s="11">
        <f t="shared" si="12"/>
        <v>25</v>
      </c>
      <c r="D42" s="11">
        <v>1000</v>
      </c>
      <c r="E42" s="11">
        <v>0</v>
      </c>
      <c r="F42" s="8">
        <v>0</v>
      </c>
      <c r="G42" s="8">
        <v>100</v>
      </c>
      <c r="H42" s="8">
        <v>100</v>
      </c>
      <c r="I42" s="8">
        <v>0</v>
      </c>
      <c r="J42" s="8">
        <f>(B42-L42)*(G42/H42)*50%</f>
        <v>30</v>
      </c>
      <c r="K42" s="14">
        <f>55+N42*5</f>
        <v>55</v>
      </c>
      <c r="L42" s="14">
        <f t="shared" si="17"/>
        <v>10</v>
      </c>
      <c r="M42" s="14">
        <v>600</v>
      </c>
      <c r="N42" s="14">
        <v>0</v>
      </c>
      <c r="O42" s="14">
        <v>0</v>
      </c>
      <c r="P42" s="14">
        <f t="shared" si="14"/>
        <v>70</v>
      </c>
      <c r="Q42" s="14">
        <f>100+N42*25</f>
        <v>100</v>
      </c>
      <c r="R42" s="14">
        <v>1</v>
      </c>
      <c r="S42" s="14">
        <v>0</v>
      </c>
      <c r="T42" s="14">
        <v>0</v>
      </c>
      <c r="U42" s="10">
        <f t="shared" si="15"/>
        <v>180</v>
      </c>
    </row>
    <row r="43" s="19" customFormat="1" spans="1:21">
      <c r="A43" s="10" t="s">
        <v>379</v>
      </c>
      <c r="B43" s="11">
        <f t="shared" si="11"/>
        <v>70</v>
      </c>
      <c r="C43" s="11">
        <f t="shared" si="12"/>
        <v>25</v>
      </c>
      <c r="D43" s="11">
        <v>1000</v>
      </c>
      <c r="E43" s="11">
        <v>0</v>
      </c>
      <c r="F43" s="8">
        <v>0</v>
      </c>
      <c r="G43" s="8">
        <v>100</v>
      </c>
      <c r="H43" s="8">
        <v>100</v>
      </c>
      <c r="I43" s="8">
        <v>0</v>
      </c>
      <c r="J43" s="8">
        <f t="shared" ref="J43:J46" si="18">(B43-L43)*(G43/H43)</f>
        <v>50</v>
      </c>
      <c r="K43" s="14">
        <f>55+N43*10</f>
        <v>55</v>
      </c>
      <c r="L43" s="14">
        <f>20+N43*5</f>
        <v>20</v>
      </c>
      <c r="M43" s="14">
        <v>600</v>
      </c>
      <c r="N43" s="15">
        <v>0</v>
      </c>
      <c r="O43" s="14">
        <v>0</v>
      </c>
      <c r="P43" s="14">
        <f t="shared" si="14"/>
        <v>50</v>
      </c>
      <c r="Q43" s="14">
        <f>100+N43*10</f>
        <v>100</v>
      </c>
      <c r="R43" s="14">
        <v>1</v>
      </c>
      <c r="S43" s="14">
        <v>0</v>
      </c>
      <c r="T43" s="14">
        <v>0</v>
      </c>
      <c r="U43" s="10">
        <f t="shared" si="15"/>
        <v>300</v>
      </c>
    </row>
    <row r="44" s="19" customFormat="1" spans="1:21">
      <c r="A44" s="10" t="s">
        <v>380</v>
      </c>
      <c r="B44" s="11">
        <f t="shared" si="11"/>
        <v>70</v>
      </c>
      <c r="C44" s="11">
        <f t="shared" si="12"/>
        <v>25</v>
      </c>
      <c r="D44" s="11">
        <v>1000</v>
      </c>
      <c r="E44" s="11">
        <v>0</v>
      </c>
      <c r="F44" s="8">
        <v>0</v>
      </c>
      <c r="G44" s="8">
        <v>100</v>
      </c>
      <c r="H44" s="8">
        <v>100</v>
      </c>
      <c r="I44" s="8">
        <v>0</v>
      </c>
      <c r="J44" s="8">
        <f t="shared" si="18"/>
        <v>40</v>
      </c>
      <c r="K44" s="14">
        <f>40+N44*5</f>
        <v>40</v>
      </c>
      <c r="L44" s="14">
        <f>30+N44*5</f>
        <v>30</v>
      </c>
      <c r="M44" s="14">
        <v>600</v>
      </c>
      <c r="N44" s="14">
        <v>0</v>
      </c>
      <c r="O44" s="14">
        <v>0</v>
      </c>
      <c r="P44" s="14">
        <f t="shared" si="14"/>
        <v>60</v>
      </c>
      <c r="Q44" s="14">
        <v>100</v>
      </c>
      <c r="R44" s="14">
        <v>1</v>
      </c>
      <c r="S44" s="14">
        <v>0</v>
      </c>
      <c r="T44" s="14">
        <v>0</v>
      </c>
      <c r="U44" s="10">
        <f t="shared" si="15"/>
        <v>240</v>
      </c>
    </row>
    <row r="45" s="19" customFormat="1" spans="1:21">
      <c r="A45" s="10" t="s">
        <v>381</v>
      </c>
      <c r="B45" s="11">
        <f t="shared" si="11"/>
        <v>70</v>
      </c>
      <c r="C45" s="11">
        <f t="shared" si="12"/>
        <v>25</v>
      </c>
      <c r="D45" s="11">
        <v>1000</v>
      </c>
      <c r="E45" s="11">
        <v>0</v>
      </c>
      <c r="F45" s="8">
        <v>0</v>
      </c>
      <c r="G45" s="8">
        <v>100</v>
      </c>
      <c r="H45" s="8">
        <v>100</v>
      </c>
      <c r="I45" s="8">
        <v>0</v>
      </c>
      <c r="J45" s="8">
        <f t="shared" si="18"/>
        <v>65</v>
      </c>
      <c r="K45" s="14">
        <f>60+N45*5</f>
        <v>60</v>
      </c>
      <c r="L45" s="14">
        <f>5+N45*5</f>
        <v>5</v>
      </c>
      <c r="M45" s="14">
        <v>800</v>
      </c>
      <c r="N45" s="15">
        <v>0</v>
      </c>
      <c r="O45" s="14">
        <v>0</v>
      </c>
      <c r="P45" s="14">
        <f t="shared" si="14"/>
        <v>35</v>
      </c>
      <c r="Q45" s="14">
        <v>100</v>
      </c>
      <c r="R45" s="14">
        <v>1</v>
      </c>
      <c r="S45" s="14">
        <v>0</v>
      </c>
      <c r="T45" s="14">
        <v>0</v>
      </c>
      <c r="U45" s="10">
        <f t="shared" si="15"/>
        <v>520</v>
      </c>
    </row>
    <row r="46" s="19" customFormat="1" spans="1:21">
      <c r="A46" s="10" t="s">
        <v>382</v>
      </c>
      <c r="B46" s="11">
        <f t="shared" si="11"/>
        <v>70</v>
      </c>
      <c r="C46" s="11">
        <f t="shared" si="12"/>
        <v>25</v>
      </c>
      <c r="D46" s="11">
        <v>1000</v>
      </c>
      <c r="E46" s="11">
        <v>0</v>
      </c>
      <c r="F46" s="8">
        <v>0</v>
      </c>
      <c r="G46" s="8">
        <v>100</v>
      </c>
      <c r="H46" s="8">
        <v>100</v>
      </c>
      <c r="I46" s="8">
        <v>0</v>
      </c>
      <c r="J46" s="8">
        <f t="shared" si="18"/>
        <v>60</v>
      </c>
      <c r="K46" s="14">
        <f>60+N46*10</f>
        <v>60</v>
      </c>
      <c r="L46" s="14">
        <f>10+N46*5</f>
        <v>10</v>
      </c>
      <c r="M46" s="14">
        <v>800</v>
      </c>
      <c r="N46" s="14">
        <v>0</v>
      </c>
      <c r="O46" s="14">
        <v>0</v>
      </c>
      <c r="P46" s="14">
        <f t="shared" si="14"/>
        <v>40</v>
      </c>
      <c r="Q46" s="14">
        <v>100</v>
      </c>
      <c r="R46" s="14">
        <v>1</v>
      </c>
      <c r="S46" s="14">
        <v>0</v>
      </c>
      <c r="T46" s="14">
        <v>0</v>
      </c>
      <c r="U46" s="10">
        <f t="shared" si="15"/>
        <v>480</v>
      </c>
    </row>
    <row r="47" s="19" customFormat="1" spans="1:21">
      <c r="A47" s="10" t="s">
        <v>383</v>
      </c>
      <c r="B47" s="11">
        <f t="shared" si="11"/>
        <v>70</v>
      </c>
      <c r="C47" s="11">
        <f t="shared" si="12"/>
        <v>25</v>
      </c>
      <c r="D47" s="11">
        <v>1000</v>
      </c>
      <c r="E47" s="11">
        <v>0</v>
      </c>
      <c r="F47" s="8">
        <v>0</v>
      </c>
      <c r="G47" s="8">
        <v>100</v>
      </c>
      <c r="H47" s="8">
        <v>100</v>
      </c>
      <c r="I47" s="8">
        <v>0</v>
      </c>
      <c r="J47" s="8">
        <f>(B47-L47)*(G47/H47)*50%</f>
        <v>22.5</v>
      </c>
      <c r="K47" s="14">
        <f>70+N47*10</f>
        <v>70</v>
      </c>
      <c r="L47" s="14">
        <f>25+N47*5</f>
        <v>25</v>
      </c>
      <c r="M47" s="14">
        <v>1000</v>
      </c>
      <c r="N47" s="15">
        <v>0</v>
      </c>
      <c r="O47" s="14">
        <v>0</v>
      </c>
      <c r="P47" s="14">
        <f t="shared" si="14"/>
        <v>77.5</v>
      </c>
      <c r="Q47" s="14">
        <v>100</v>
      </c>
      <c r="R47" s="14">
        <v>1</v>
      </c>
      <c r="S47" s="14">
        <v>0</v>
      </c>
      <c r="T47" s="14">
        <v>0</v>
      </c>
      <c r="U47" s="10">
        <f t="shared" si="15"/>
        <v>225</v>
      </c>
    </row>
    <row r="48" s="19" customFormat="1" spans="1:21">
      <c r="A48" s="10" t="s">
        <v>384</v>
      </c>
      <c r="B48" s="11">
        <f t="shared" si="11"/>
        <v>70</v>
      </c>
      <c r="C48" s="11">
        <f t="shared" si="12"/>
        <v>25</v>
      </c>
      <c r="D48" s="11">
        <v>1000</v>
      </c>
      <c r="E48" s="11">
        <v>0</v>
      </c>
      <c r="F48" s="8">
        <v>0</v>
      </c>
      <c r="G48" s="8">
        <v>100</v>
      </c>
      <c r="H48" s="8">
        <v>100</v>
      </c>
      <c r="I48" s="8">
        <v>0</v>
      </c>
      <c r="J48" s="8">
        <f>(B48-L48)*(G48/H48)</f>
        <v>50</v>
      </c>
      <c r="K48" s="14">
        <f>60+N48*10</f>
        <v>60</v>
      </c>
      <c r="L48" s="14">
        <f>20+N48*5</f>
        <v>20</v>
      </c>
      <c r="M48" s="14">
        <v>600</v>
      </c>
      <c r="N48" s="14">
        <v>0</v>
      </c>
      <c r="O48" s="14">
        <v>0</v>
      </c>
      <c r="P48" s="14">
        <f t="shared" si="14"/>
        <v>50</v>
      </c>
      <c r="Q48" s="14">
        <v>100</v>
      </c>
      <c r="R48" s="14">
        <v>1</v>
      </c>
      <c r="S48" s="14">
        <v>0</v>
      </c>
      <c r="T48" s="14">
        <v>0</v>
      </c>
      <c r="U48" s="10">
        <f t="shared" si="15"/>
        <v>300</v>
      </c>
    </row>
    <row r="49" s="19" customFormat="1" spans="1:21">
      <c r="A49" s="10" t="s">
        <v>385</v>
      </c>
      <c r="B49" s="11">
        <f t="shared" si="11"/>
        <v>70</v>
      </c>
      <c r="C49" s="11">
        <f t="shared" si="12"/>
        <v>25</v>
      </c>
      <c r="D49" s="11">
        <v>1000</v>
      </c>
      <c r="E49" s="11">
        <v>0</v>
      </c>
      <c r="F49" s="8">
        <v>0</v>
      </c>
      <c r="G49" s="8">
        <v>100</v>
      </c>
      <c r="H49" s="8">
        <v>100</v>
      </c>
      <c r="I49" s="8">
        <v>0</v>
      </c>
      <c r="J49" s="8">
        <f>(B49-L49)*(G49/H49)</f>
        <v>65</v>
      </c>
      <c r="K49" s="14">
        <f>40+N49*10</f>
        <v>40</v>
      </c>
      <c r="L49" s="14">
        <f>5+N49*5</f>
        <v>5</v>
      </c>
      <c r="M49" s="14">
        <v>150</v>
      </c>
      <c r="N49" s="15">
        <v>0</v>
      </c>
      <c r="O49" s="14">
        <v>0</v>
      </c>
      <c r="P49" s="14">
        <f t="shared" si="14"/>
        <v>35</v>
      </c>
      <c r="Q49" s="14">
        <v>100</v>
      </c>
      <c r="R49" s="14">
        <v>1</v>
      </c>
      <c r="S49" s="14">
        <v>0</v>
      </c>
      <c r="T49" s="14">
        <v>0</v>
      </c>
      <c r="U49" s="10">
        <f t="shared" si="15"/>
        <v>97.5</v>
      </c>
    </row>
  </sheetData>
  <mergeCells count="16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B28:J28"/>
    <mergeCell ref="K28:T28"/>
    <mergeCell ref="U5:U6"/>
    <mergeCell ref="U28:U29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zoomScale="90" zoomScaleNormal="90" workbookViewId="0">
      <selection activeCell="L7" sqref="L7:L26"/>
    </sheetView>
  </sheetViews>
  <sheetFormatPr defaultColWidth="14" defaultRowHeight="15"/>
  <cols>
    <col min="1" max="1" width="13.1090909090909" style="1" customWidth="1"/>
    <col min="2" max="3" width="8.33636363636364" style="1" customWidth="1"/>
    <col min="4" max="7" width="6.10909090909091" style="1" customWidth="1"/>
    <col min="8" max="8" width="8.33636363636364" style="1" customWidth="1"/>
    <col min="9" max="9" width="18.1090909090909" style="1" customWidth="1"/>
    <col min="10" max="10" width="10.6636363636364" style="1" customWidth="1"/>
    <col min="11" max="12" width="8.33636363636364" style="1" customWidth="1"/>
    <col min="13" max="16" width="6.10909090909091" style="1" customWidth="1"/>
    <col min="17" max="17" width="8.33636363636364" style="1" customWidth="1"/>
    <col min="18" max="18" width="10.6636363636364" style="1" customWidth="1"/>
    <col min="19" max="19" width="18.1090909090909" style="1" customWidth="1"/>
    <col min="20" max="21" width="10.6636363636364" style="1" customWidth="1"/>
    <col min="22" max="22" width="38.1090909090909" style="1" customWidth="1"/>
    <col min="23" max="23" width="15.6636363636364" style="1" customWidth="1"/>
    <col min="24" max="16384" width="14" style="1"/>
  </cols>
  <sheetData>
    <row r="1" s="1" customForma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="1" customFormat="1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" customFormat="1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T4" s="16" t="s">
        <v>6</v>
      </c>
      <c r="U4" s="17"/>
    </row>
    <row r="5" s="1" customFormat="1" spans="1:21">
      <c r="A5" s="7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="1" customFormat="1" spans="1:21">
      <c r="A6" s="9"/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="1" customFormat="1" spans="1:21">
      <c r="A7" s="10" t="s">
        <v>386</v>
      </c>
      <c r="B7" s="11">
        <f>60+E7*10</f>
        <v>60</v>
      </c>
      <c r="C7" s="11">
        <f>20+E7*5</f>
        <v>20</v>
      </c>
      <c r="D7" s="11">
        <v>600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 t="shared" ref="J7:J26" si="0">(B7-L7)*(G7/H7)</f>
        <v>55</v>
      </c>
      <c r="K7" s="15">
        <f>55+N7*10</f>
        <v>55</v>
      </c>
      <c r="L7" s="15">
        <f t="shared" ref="L7:L10" si="1">5+N7*5</f>
        <v>5</v>
      </c>
      <c r="M7" s="15">
        <v>150</v>
      </c>
      <c r="N7" s="15">
        <v>0</v>
      </c>
      <c r="O7" s="14">
        <v>0</v>
      </c>
      <c r="P7" s="14">
        <f t="shared" ref="P7:P26" si="2">Q7-J7</f>
        <v>45</v>
      </c>
      <c r="Q7" s="14">
        <v>100</v>
      </c>
      <c r="R7" s="14">
        <v>1</v>
      </c>
      <c r="S7" s="14">
        <v>0</v>
      </c>
      <c r="T7" s="14">
        <f t="shared" ref="T7:T9" si="3">(K7-C7)*(P7/Q7)</f>
        <v>15.75</v>
      </c>
      <c r="U7" s="10">
        <f t="shared" ref="U7:U26" si="4">(M7*(N7/3+1)*(J7*R7+S7)-(D7*(E7/3+1))*(T7+I7))/100</f>
        <v>-12</v>
      </c>
    </row>
    <row r="8" s="1" customFormat="1" spans="1:21">
      <c r="A8" s="10" t="s">
        <v>387</v>
      </c>
      <c r="B8" s="11">
        <f t="shared" ref="B8:B26" si="5">60+E8*10</f>
        <v>60</v>
      </c>
      <c r="C8" s="11">
        <f t="shared" ref="C8:C26" si="6">20+E8*5</f>
        <v>20</v>
      </c>
      <c r="D8" s="11">
        <v>600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si="0"/>
        <v>55</v>
      </c>
      <c r="K8" s="15">
        <f t="shared" ref="K8:K13" si="7">50+N8*10</f>
        <v>50</v>
      </c>
      <c r="L8" s="15">
        <f t="shared" si="1"/>
        <v>5</v>
      </c>
      <c r="M8" s="14">
        <v>200</v>
      </c>
      <c r="N8" s="15">
        <v>0</v>
      </c>
      <c r="O8" s="14">
        <v>0</v>
      </c>
      <c r="P8" s="14">
        <f t="shared" si="2"/>
        <v>45</v>
      </c>
      <c r="Q8" s="14">
        <v>100</v>
      </c>
      <c r="R8" s="14">
        <v>1</v>
      </c>
      <c r="S8" s="14">
        <v>0</v>
      </c>
      <c r="T8" s="14">
        <f t="shared" si="3"/>
        <v>13.5</v>
      </c>
      <c r="U8" s="10">
        <f t="shared" si="4"/>
        <v>29</v>
      </c>
    </row>
    <row r="9" s="1" customFormat="1" spans="1:21">
      <c r="A9" s="10" t="s">
        <v>388</v>
      </c>
      <c r="B9" s="11">
        <f t="shared" si="5"/>
        <v>60</v>
      </c>
      <c r="C9" s="11">
        <f t="shared" si="6"/>
        <v>20</v>
      </c>
      <c r="D9" s="11">
        <v>600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0"/>
        <v>60</v>
      </c>
      <c r="K9" s="15">
        <f>40+N9*10</f>
        <v>40</v>
      </c>
      <c r="L9" s="15">
        <f t="shared" ref="L9:L14" si="8">0+N9*5</f>
        <v>0</v>
      </c>
      <c r="M9" s="14">
        <v>200</v>
      </c>
      <c r="N9" s="15">
        <v>0</v>
      </c>
      <c r="O9" s="14">
        <v>0</v>
      </c>
      <c r="P9" s="14">
        <f t="shared" si="2"/>
        <v>40</v>
      </c>
      <c r="Q9" s="14">
        <v>100</v>
      </c>
      <c r="R9" s="14">
        <v>1</v>
      </c>
      <c r="S9" s="14">
        <v>0</v>
      </c>
      <c r="T9" s="14">
        <f t="shared" si="3"/>
        <v>8</v>
      </c>
      <c r="U9" s="10">
        <f t="shared" si="4"/>
        <v>72</v>
      </c>
    </row>
    <row r="10" s="1" customFormat="1" spans="1:21">
      <c r="A10" s="10" t="s">
        <v>389</v>
      </c>
      <c r="B10" s="11">
        <f t="shared" si="5"/>
        <v>60</v>
      </c>
      <c r="C10" s="11">
        <f t="shared" si="6"/>
        <v>20</v>
      </c>
      <c r="D10" s="11">
        <v>600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0"/>
        <v>55</v>
      </c>
      <c r="K10" s="15">
        <f>45+N10*10</f>
        <v>45</v>
      </c>
      <c r="L10" s="15">
        <f t="shared" si="1"/>
        <v>5</v>
      </c>
      <c r="M10" s="14">
        <v>250</v>
      </c>
      <c r="N10" s="15">
        <v>0</v>
      </c>
      <c r="O10" s="14">
        <v>0</v>
      </c>
      <c r="P10" s="14">
        <f t="shared" si="2"/>
        <v>45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4"/>
        <v>137.5</v>
      </c>
    </row>
    <row r="11" s="1" customFormat="1" spans="1:21">
      <c r="A11" s="10" t="s">
        <v>390</v>
      </c>
      <c r="B11" s="11">
        <f t="shared" si="5"/>
        <v>60</v>
      </c>
      <c r="C11" s="11">
        <f t="shared" si="6"/>
        <v>20</v>
      </c>
      <c r="D11" s="11">
        <v>600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0"/>
        <v>20</v>
      </c>
      <c r="K11" s="15">
        <f t="shared" si="7"/>
        <v>50</v>
      </c>
      <c r="L11" s="15">
        <f>40+N11*5</f>
        <v>40</v>
      </c>
      <c r="M11" s="14">
        <v>250</v>
      </c>
      <c r="N11" s="15">
        <v>0</v>
      </c>
      <c r="O11" s="14">
        <v>0</v>
      </c>
      <c r="P11" s="14">
        <f t="shared" si="2"/>
        <v>80</v>
      </c>
      <c r="Q11" s="14">
        <f>100+N11*5</f>
        <v>100</v>
      </c>
      <c r="R11" s="14">
        <v>1</v>
      </c>
      <c r="S11" s="14">
        <v>0</v>
      </c>
      <c r="T11" s="14">
        <f t="shared" ref="T11:T16" si="9">(K11-C11)*(P11/Q11)</f>
        <v>24</v>
      </c>
      <c r="U11" s="10">
        <f t="shared" si="4"/>
        <v>-94</v>
      </c>
    </row>
    <row r="12" s="1" customFormat="1" spans="1:21">
      <c r="A12" s="10" t="s">
        <v>391</v>
      </c>
      <c r="B12" s="11">
        <f t="shared" si="5"/>
        <v>60</v>
      </c>
      <c r="C12" s="11">
        <f t="shared" si="6"/>
        <v>20</v>
      </c>
      <c r="D12" s="11">
        <v>600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0"/>
        <v>45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2"/>
        <v>55</v>
      </c>
      <c r="Q12" s="14">
        <v>100</v>
      </c>
      <c r="R12" s="14">
        <v>1</v>
      </c>
      <c r="S12" s="14">
        <v>0</v>
      </c>
      <c r="T12" s="14">
        <f t="shared" si="9"/>
        <v>22</v>
      </c>
      <c r="U12" s="10">
        <f t="shared" si="4"/>
        <v>3</v>
      </c>
    </row>
    <row r="13" s="1" customFormat="1" spans="1:21">
      <c r="A13" s="10" t="s">
        <v>392</v>
      </c>
      <c r="B13" s="11">
        <f t="shared" si="5"/>
        <v>60</v>
      </c>
      <c r="C13" s="11">
        <f t="shared" si="6"/>
        <v>20</v>
      </c>
      <c r="D13" s="11">
        <v>600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0"/>
        <v>60</v>
      </c>
      <c r="K13" s="15">
        <f t="shared" si="7"/>
        <v>50</v>
      </c>
      <c r="L13" s="15">
        <f t="shared" si="8"/>
        <v>0</v>
      </c>
      <c r="M13" s="14">
        <v>300</v>
      </c>
      <c r="N13" s="15">
        <v>0</v>
      </c>
      <c r="O13" s="14">
        <v>0</v>
      </c>
      <c r="P13" s="14">
        <f t="shared" si="2"/>
        <v>40</v>
      </c>
      <c r="Q13" s="14">
        <v>100</v>
      </c>
      <c r="R13" s="14">
        <v>1</v>
      </c>
      <c r="S13" s="14">
        <v>0</v>
      </c>
      <c r="T13" s="14">
        <f t="shared" si="9"/>
        <v>12</v>
      </c>
      <c r="U13" s="10">
        <f t="shared" si="4"/>
        <v>108</v>
      </c>
    </row>
    <row r="14" s="1" customFormat="1" spans="1:21">
      <c r="A14" s="10" t="s">
        <v>393</v>
      </c>
      <c r="B14" s="11">
        <f t="shared" si="5"/>
        <v>60</v>
      </c>
      <c r="C14" s="11">
        <f t="shared" si="6"/>
        <v>20</v>
      </c>
      <c r="D14" s="11">
        <v>600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0"/>
        <v>60</v>
      </c>
      <c r="K14" s="15">
        <f>45+N14*5</f>
        <v>45</v>
      </c>
      <c r="L14" s="15">
        <f t="shared" si="8"/>
        <v>0</v>
      </c>
      <c r="M14" s="14">
        <v>400</v>
      </c>
      <c r="N14" s="15">
        <v>0</v>
      </c>
      <c r="O14" s="14">
        <v>0</v>
      </c>
      <c r="P14" s="14">
        <f t="shared" si="2"/>
        <v>40</v>
      </c>
      <c r="Q14" s="14">
        <v>100</v>
      </c>
      <c r="R14" s="14">
        <v>1</v>
      </c>
      <c r="S14" s="14">
        <v>0</v>
      </c>
      <c r="T14" s="14">
        <f t="shared" si="9"/>
        <v>10</v>
      </c>
      <c r="U14" s="10">
        <f t="shared" si="4"/>
        <v>180</v>
      </c>
    </row>
    <row r="15" s="1" customFormat="1" spans="1:21">
      <c r="A15" s="10" t="s">
        <v>394</v>
      </c>
      <c r="B15" s="11">
        <f t="shared" si="5"/>
        <v>60</v>
      </c>
      <c r="C15" s="11">
        <f t="shared" si="6"/>
        <v>20</v>
      </c>
      <c r="D15" s="11">
        <v>600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0"/>
        <v>50</v>
      </c>
      <c r="K15" s="15">
        <f>50+N15*5</f>
        <v>50</v>
      </c>
      <c r="L15" s="15">
        <f>10+N15*5</f>
        <v>10</v>
      </c>
      <c r="M15" s="14">
        <v>400</v>
      </c>
      <c r="N15" s="15">
        <v>0</v>
      </c>
      <c r="O15" s="14">
        <v>0</v>
      </c>
      <c r="P15" s="14">
        <f t="shared" si="2"/>
        <v>50</v>
      </c>
      <c r="Q15" s="14">
        <v>100</v>
      </c>
      <c r="R15" s="14">
        <v>1</v>
      </c>
      <c r="S15" s="14">
        <v>0</v>
      </c>
      <c r="T15" s="14">
        <f t="shared" si="9"/>
        <v>15</v>
      </c>
      <c r="U15" s="10">
        <f t="shared" si="4"/>
        <v>110</v>
      </c>
    </row>
    <row r="16" s="1" customFormat="1" spans="1:21">
      <c r="A16" s="10" t="s">
        <v>395</v>
      </c>
      <c r="B16" s="11">
        <f t="shared" si="5"/>
        <v>60</v>
      </c>
      <c r="C16" s="11">
        <f t="shared" si="6"/>
        <v>20</v>
      </c>
      <c r="D16" s="11">
        <v>600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0"/>
        <v>40</v>
      </c>
      <c r="K16" s="15">
        <f>55+N16*5</f>
        <v>55</v>
      </c>
      <c r="L16" s="15">
        <f t="shared" ref="L16:L18" si="10">20+N16*5</f>
        <v>20</v>
      </c>
      <c r="M16" s="14">
        <v>500</v>
      </c>
      <c r="N16" s="15">
        <v>0</v>
      </c>
      <c r="O16" s="14">
        <v>0</v>
      </c>
      <c r="P16" s="14">
        <f t="shared" si="2"/>
        <v>60</v>
      </c>
      <c r="Q16" s="14">
        <v>100</v>
      </c>
      <c r="R16" s="14">
        <v>1</v>
      </c>
      <c r="S16" s="14">
        <v>0</v>
      </c>
      <c r="T16" s="14">
        <f t="shared" si="9"/>
        <v>21</v>
      </c>
      <c r="U16" s="10">
        <f t="shared" si="4"/>
        <v>74</v>
      </c>
    </row>
    <row r="17" s="1" customFormat="1" spans="1:21">
      <c r="A17" s="10" t="s">
        <v>396</v>
      </c>
      <c r="B17" s="11">
        <f t="shared" si="5"/>
        <v>60</v>
      </c>
      <c r="C17" s="11">
        <f t="shared" si="6"/>
        <v>20</v>
      </c>
      <c r="D17" s="11">
        <v>600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0"/>
        <v>40</v>
      </c>
      <c r="K17" s="14">
        <f>70+N17*10</f>
        <v>70</v>
      </c>
      <c r="L17" s="14">
        <f t="shared" si="10"/>
        <v>20</v>
      </c>
      <c r="M17" s="14">
        <v>500</v>
      </c>
      <c r="N17" s="14">
        <v>0</v>
      </c>
      <c r="O17" s="14">
        <v>0</v>
      </c>
      <c r="P17" s="14">
        <f t="shared" si="2"/>
        <v>60</v>
      </c>
      <c r="Q17" s="14">
        <v>100</v>
      </c>
      <c r="R17" s="14">
        <v>1</v>
      </c>
      <c r="S17" s="14">
        <v>0</v>
      </c>
      <c r="T17" s="14">
        <f>(K17-C17)*1</f>
        <v>50</v>
      </c>
      <c r="U17" s="10">
        <f t="shared" si="4"/>
        <v>-100</v>
      </c>
    </row>
    <row r="18" s="1" customFormat="1" spans="1:21">
      <c r="A18" s="10" t="s">
        <v>397</v>
      </c>
      <c r="B18" s="11">
        <f t="shared" si="5"/>
        <v>60</v>
      </c>
      <c r="C18" s="11">
        <f t="shared" si="6"/>
        <v>20</v>
      </c>
      <c r="D18" s="11">
        <v>600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0"/>
        <v>40</v>
      </c>
      <c r="K18" s="14">
        <f>75+N18*10</f>
        <v>75</v>
      </c>
      <c r="L18" s="14">
        <f t="shared" si="10"/>
        <v>20</v>
      </c>
      <c r="M18" s="14">
        <v>600</v>
      </c>
      <c r="N18" s="15">
        <v>0</v>
      </c>
      <c r="O18" s="14">
        <v>0</v>
      </c>
      <c r="P18" s="14">
        <f t="shared" si="2"/>
        <v>60</v>
      </c>
      <c r="Q18" s="14">
        <v>100</v>
      </c>
      <c r="R18" s="14">
        <v>1</v>
      </c>
      <c r="S18" s="14">
        <v>0</v>
      </c>
      <c r="T18" s="14">
        <f t="shared" ref="T18:T21" si="11">(K18-C18)*(P18/Q18)</f>
        <v>33</v>
      </c>
      <c r="U18" s="10">
        <f t="shared" si="4"/>
        <v>42</v>
      </c>
    </row>
    <row r="19" s="1" customFormat="1" spans="1:21">
      <c r="A19" s="10" t="s">
        <v>398</v>
      </c>
      <c r="B19" s="11">
        <f t="shared" si="5"/>
        <v>60</v>
      </c>
      <c r="C19" s="11">
        <f t="shared" si="6"/>
        <v>20</v>
      </c>
      <c r="D19" s="11">
        <v>600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0"/>
        <v>30</v>
      </c>
      <c r="K19" s="14">
        <f>55+N19*5</f>
        <v>55</v>
      </c>
      <c r="L19" s="14">
        <f>30+N19*5</f>
        <v>30</v>
      </c>
      <c r="M19" s="14">
        <v>600</v>
      </c>
      <c r="N19" s="14">
        <v>0</v>
      </c>
      <c r="O19" s="14">
        <v>0</v>
      </c>
      <c r="P19" s="14">
        <f t="shared" si="2"/>
        <v>70</v>
      </c>
      <c r="Q19" s="14">
        <f>100+N19*25</f>
        <v>100</v>
      </c>
      <c r="R19" s="14">
        <v>1</v>
      </c>
      <c r="S19" s="14">
        <v>0</v>
      </c>
      <c r="T19" s="14">
        <f t="shared" si="11"/>
        <v>24.5</v>
      </c>
      <c r="U19" s="10">
        <f t="shared" si="4"/>
        <v>33</v>
      </c>
    </row>
    <row r="20" s="1" customFormat="1" spans="1:21">
      <c r="A20" s="10" t="s">
        <v>399</v>
      </c>
      <c r="B20" s="11">
        <f t="shared" si="5"/>
        <v>60</v>
      </c>
      <c r="C20" s="11">
        <f t="shared" si="6"/>
        <v>20</v>
      </c>
      <c r="D20" s="11">
        <v>600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0"/>
        <v>50</v>
      </c>
      <c r="K20" s="14">
        <f>55+N20*10</f>
        <v>55</v>
      </c>
      <c r="L20" s="14">
        <f>10+N20*5</f>
        <v>10</v>
      </c>
      <c r="M20" s="14">
        <v>600</v>
      </c>
      <c r="N20" s="15">
        <v>0</v>
      </c>
      <c r="O20" s="14">
        <v>0</v>
      </c>
      <c r="P20" s="14">
        <f t="shared" si="2"/>
        <v>50</v>
      </c>
      <c r="Q20" s="14">
        <f>100+N20*10</f>
        <v>100</v>
      </c>
      <c r="R20" s="14">
        <v>1</v>
      </c>
      <c r="S20" s="14">
        <v>0</v>
      </c>
      <c r="T20" s="14">
        <f t="shared" si="11"/>
        <v>17.5</v>
      </c>
      <c r="U20" s="10">
        <f t="shared" si="4"/>
        <v>195</v>
      </c>
    </row>
    <row r="21" s="1" customFormat="1" spans="1:21">
      <c r="A21" s="10" t="s">
        <v>400</v>
      </c>
      <c r="B21" s="11">
        <f t="shared" si="5"/>
        <v>60</v>
      </c>
      <c r="C21" s="11">
        <f t="shared" si="6"/>
        <v>20</v>
      </c>
      <c r="D21" s="11">
        <v>600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0"/>
        <v>60</v>
      </c>
      <c r="K21" s="14">
        <f>40+N21*5</f>
        <v>40</v>
      </c>
      <c r="L21" s="14">
        <f>0+N21*5</f>
        <v>0</v>
      </c>
      <c r="M21" s="14">
        <v>600</v>
      </c>
      <c r="N21" s="14">
        <v>0</v>
      </c>
      <c r="O21" s="14">
        <v>0</v>
      </c>
      <c r="P21" s="14">
        <f t="shared" si="2"/>
        <v>40</v>
      </c>
      <c r="Q21" s="14">
        <v>100</v>
      </c>
      <c r="R21" s="14">
        <v>1</v>
      </c>
      <c r="S21" s="14">
        <v>0</v>
      </c>
      <c r="T21" s="14">
        <f t="shared" si="11"/>
        <v>8</v>
      </c>
      <c r="U21" s="10">
        <f t="shared" si="4"/>
        <v>312</v>
      </c>
    </row>
    <row r="22" s="1" customFormat="1" spans="1:21">
      <c r="A22" s="10" t="s">
        <v>401</v>
      </c>
      <c r="B22" s="11">
        <f t="shared" si="5"/>
        <v>60</v>
      </c>
      <c r="C22" s="11">
        <f t="shared" si="6"/>
        <v>20</v>
      </c>
      <c r="D22" s="11">
        <v>600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0"/>
        <v>55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2"/>
        <v>45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4"/>
        <v>440</v>
      </c>
    </row>
    <row r="23" s="1" customFormat="1" spans="1:21">
      <c r="A23" s="10" t="s">
        <v>402</v>
      </c>
      <c r="B23" s="11">
        <f t="shared" si="5"/>
        <v>60</v>
      </c>
      <c r="C23" s="11">
        <f t="shared" si="6"/>
        <v>20</v>
      </c>
      <c r="D23" s="11">
        <v>600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0"/>
        <v>40</v>
      </c>
      <c r="K23" s="14">
        <f>60+N23*10</f>
        <v>60</v>
      </c>
      <c r="L23" s="14">
        <f>20+N23*5</f>
        <v>20</v>
      </c>
      <c r="M23" s="14">
        <v>800</v>
      </c>
      <c r="N23" s="14">
        <v>0</v>
      </c>
      <c r="O23" s="14">
        <v>0</v>
      </c>
      <c r="P23" s="14">
        <f t="shared" si="2"/>
        <v>60</v>
      </c>
      <c r="Q23" s="14">
        <v>100</v>
      </c>
      <c r="R23" s="14">
        <v>1</v>
      </c>
      <c r="S23" s="14">
        <v>0</v>
      </c>
      <c r="T23" s="14">
        <f t="shared" ref="T23:T26" si="12">(K23-C23)*(P23/Q23)</f>
        <v>24</v>
      </c>
      <c r="U23" s="10">
        <f t="shared" si="4"/>
        <v>176</v>
      </c>
    </row>
    <row r="24" s="1" customFormat="1" spans="1:21">
      <c r="A24" s="10" t="s">
        <v>403</v>
      </c>
      <c r="B24" s="11">
        <f t="shared" si="5"/>
        <v>60</v>
      </c>
      <c r="C24" s="11">
        <f t="shared" si="6"/>
        <v>20</v>
      </c>
      <c r="D24" s="11">
        <v>600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0"/>
        <v>35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2"/>
        <v>65</v>
      </c>
      <c r="Q24" s="14">
        <v>100</v>
      </c>
      <c r="R24" s="14">
        <v>1</v>
      </c>
      <c r="S24" s="14">
        <v>0</v>
      </c>
      <c r="T24" s="14">
        <f>((K24-C24)*(P24/Q24))*1.5</f>
        <v>48.75</v>
      </c>
      <c r="U24" s="10">
        <f t="shared" si="4"/>
        <v>57.5</v>
      </c>
    </row>
    <row r="25" s="1" customFormat="1" spans="1:21">
      <c r="A25" s="10" t="s">
        <v>404</v>
      </c>
      <c r="B25" s="11">
        <f t="shared" si="5"/>
        <v>60</v>
      </c>
      <c r="C25" s="11">
        <f t="shared" si="6"/>
        <v>20</v>
      </c>
      <c r="D25" s="11">
        <v>600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0"/>
        <v>40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2"/>
        <v>60</v>
      </c>
      <c r="Q25" s="14">
        <v>100</v>
      </c>
      <c r="R25" s="14">
        <v>1</v>
      </c>
      <c r="S25" s="14">
        <v>0</v>
      </c>
      <c r="T25" s="14">
        <f t="shared" si="12"/>
        <v>24</v>
      </c>
      <c r="U25" s="10">
        <f t="shared" si="4"/>
        <v>96</v>
      </c>
    </row>
    <row r="26" s="1" customFormat="1" spans="1:21">
      <c r="A26" s="10" t="s">
        <v>405</v>
      </c>
      <c r="B26" s="11">
        <f t="shared" si="5"/>
        <v>60</v>
      </c>
      <c r="C26" s="11">
        <f t="shared" si="6"/>
        <v>20</v>
      </c>
      <c r="D26" s="11">
        <v>600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0"/>
        <v>55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2"/>
        <v>45</v>
      </c>
      <c r="Q26" s="14">
        <v>100</v>
      </c>
      <c r="R26" s="14">
        <v>1</v>
      </c>
      <c r="S26" s="14">
        <v>0</v>
      </c>
      <c r="T26" s="14">
        <f t="shared" si="12"/>
        <v>9</v>
      </c>
      <c r="U26" s="10">
        <f t="shared" si="4"/>
        <v>28.5</v>
      </c>
    </row>
  </sheetData>
  <mergeCells count="14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A5:A6"/>
    <mergeCell ref="U5:U6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6"/>
  <sheetViews>
    <sheetView zoomScale="90" zoomScaleNormal="90" workbookViewId="0">
      <selection activeCell="H28" sqref="H28"/>
    </sheetView>
  </sheetViews>
  <sheetFormatPr defaultColWidth="14" defaultRowHeight="15"/>
  <cols>
    <col min="1" max="1" width="15.6636363636364" style="1" customWidth="1"/>
    <col min="2" max="3" width="8.33636363636364" style="1" customWidth="1"/>
    <col min="4" max="7" width="6.10909090909091" style="1" customWidth="1"/>
    <col min="8" max="8" width="8.33636363636364" style="1" customWidth="1"/>
    <col min="9" max="9" width="18.1090909090909" style="1" customWidth="1"/>
    <col min="10" max="10" width="10.6636363636364" style="1" customWidth="1"/>
    <col min="11" max="12" width="8.33636363636364" style="1" customWidth="1"/>
    <col min="13" max="16" width="6.10909090909091" style="1" customWidth="1"/>
    <col min="17" max="17" width="8.33636363636364" style="1" customWidth="1"/>
    <col min="18" max="18" width="10.6636363636364" style="1" customWidth="1"/>
    <col min="19" max="19" width="18.1090909090909" style="1" customWidth="1"/>
    <col min="20" max="21" width="10.6636363636364" style="1" customWidth="1"/>
    <col min="22" max="22" width="38.1090909090909" style="1" customWidth="1"/>
    <col min="23" max="23" width="15.6636363636364" style="1" customWidth="1"/>
    <col min="24" max="16384" width="14" style="1"/>
  </cols>
  <sheetData>
    <row r="1" s="1" customFormat="1" spans="1:2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="1" customFormat="1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 t="s">
        <v>2</v>
      </c>
      <c r="T2" s="3"/>
      <c r="U2" s="3"/>
    </row>
    <row r="3" s="1" customFormat="1" spans="1:21">
      <c r="A3" s="4" t="s">
        <v>3</v>
      </c>
      <c r="B3" s="4"/>
      <c r="C3" s="4"/>
      <c r="D3" s="4"/>
      <c r="E3" s="5" t="s">
        <v>4</v>
      </c>
      <c r="F3" s="5"/>
      <c r="G3" s="5"/>
      <c r="H3" s="6" t="s">
        <v>5</v>
      </c>
      <c r="I3" s="12"/>
      <c r="J3" s="13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</row>
    <row r="4" s="1" customFormat="1" spans="1:21">
      <c r="A4" s="4">
        <v>2</v>
      </c>
      <c r="B4" s="4"/>
      <c r="C4" s="4"/>
      <c r="D4" s="4"/>
      <c r="E4" s="5">
        <v>150</v>
      </c>
      <c r="F4" s="5"/>
      <c r="G4" s="5"/>
      <c r="H4" s="6">
        <v>600</v>
      </c>
      <c r="I4" s="12"/>
      <c r="J4" s="13"/>
      <c r="K4" s="10"/>
      <c r="L4" s="10"/>
      <c r="M4" s="10"/>
      <c r="N4" s="10"/>
      <c r="O4" s="10"/>
      <c r="P4" s="10"/>
      <c r="Q4" s="10"/>
      <c r="R4" s="10"/>
      <c r="T4" s="16" t="s">
        <v>6</v>
      </c>
      <c r="U4" s="17"/>
    </row>
    <row r="5" s="1" customFormat="1" spans="1:21">
      <c r="A5" s="7" t="s">
        <v>7</v>
      </c>
      <c r="B5" s="8" t="s">
        <v>8</v>
      </c>
      <c r="C5" s="8"/>
      <c r="D5" s="8"/>
      <c r="E5" s="8"/>
      <c r="F5" s="8"/>
      <c r="G5" s="8"/>
      <c r="H5" s="8"/>
      <c r="I5" s="8"/>
      <c r="J5" s="8"/>
      <c r="K5" s="14" t="s">
        <v>9</v>
      </c>
      <c r="L5" s="14"/>
      <c r="M5" s="14"/>
      <c r="N5" s="14"/>
      <c r="O5" s="14"/>
      <c r="P5" s="14"/>
      <c r="Q5" s="14"/>
      <c r="R5" s="14"/>
      <c r="S5" s="14"/>
      <c r="T5" s="18"/>
      <c r="U5" s="10" t="s">
        <v>10</v>
      </c>
    </row>
    <row r="6" s="1" customFormat="1" spans="1:21">
      <c r="A6" s="9"/>
      <c r="B6" s="8" t="s">
        <v>11</v>
      </c>
      <c r="C6" s="8" t="s">
        <v>12</v>
      </c>
      <c r="D6" s="8" t="s">
        <v>13</v>
      </c>
      <c r="E6" s="8" t="s">
        <v>14</v>
      </c>
      <c r="F6" s="8" t="s">
        <v>15</v>
      </c>
      <c r="G6" s="8" t="s">
        <v>16</v>
      </c>
      <c r="H6" s="8" t="s">
        <v>17</v>
      </c>
      <c r="I6" s="8" t="s">
        <v>18</v>
      </c>
      <c r="J6" s="8" t="s">
        <v>19</v>
      </c>
      <c r="K6" s="14" t="s">
        <v>11</v>
      </c>
      <c r="L6" s="14" t="s">
        <v>12</v>
      </c>
      <c r="M6" s="14" t="s">
        <v>13</v>
      </c>
      <c r="N6" s="14" t="s">
        <v>14</v>
      </c>
      <c r="O6" s="14" t="s">
        <v>15</v>
      </c>
      <c r="P6" s="14" t="s">
        <v>16</v>
      </c>
      <c r="Q6" s="14" t="s">
        <v>17</v>
      </c>
      <c r="R6" s="14" t="s">
        <v>20</v>
      </c>
      <c r="S6" s="14" t="s">
        <v>18</v>
      </c>
      <c r="T6" s="18" t="s">
        <v>21</v>
      </c>
      <c r="U6" s="10"/>
    </row>
    <row r="7" s="1" customFormat="1" spans="1:21">
      <c r="A7" s="10" t="s">
        <v>406</v>
      </c>
      <c r="B7" s="11">
        <f>40+E7*10</f>
        <v>40</v>
      </c>
      <c r="C7" s="11">
        <f>5+E7*5</f>
        <v>5</v>
      </c>
      <c r="D7" s="11">
        <v>150</v>
      </c>
      <c r="E7" s="11">
        <v>0</v>
      </c>
      <c r="F7" s="8">
        <v>0</v>
      </c>
      <c r="G7" s="8">
        <v>100</v>
      </c>
      <c r="H7" s="8">
        <v>100</v>
      </c>
      <c r="I7" s="8">
        <v>0</v>
      </c>
      <c r="J7" s="8">
        <f t="shared" ref="J7:J26" si="0">(B7-L7)*(G7/H7)</f>
        <v>35</v>
      </c>
      <c r="K7" s="15">
        <f>55+N7*10</f>
        <v>55</v>
      </c>
      <c r="L7" s="15">
        <f t="shared" ref="L7:L10" si="1">5+N7*5</f>
        <v>5</v>
      </c>
      <c r="M7" s="15">
        <v>150</v>
      </c>
      <c r="N7" s="15">
        <v>0</v>
      </c>
      <c r="O7" s="14">
        <v>0</v>
      </c>
      <c r="P7" s="14">
        <f t="shared" ref="P7:P26" si="2">Q7-J7</f>
        <v>65</v>
      </c>
      <c r="Q7" s="14">
        <v>100</v>
      </c>
      <c r="R7" s="14">
        <v>1</v>
      </c>
      <c r="S7" s="14">
        <v>0</v>
      </c>
      <c r="T7" s="14">
        <f t="shared" ref="T7:T9" si="3">(K7-C7)*(P7/Q7)</f>
        <v>32.5</v>
      </c>
      <c r="U7" s="10">
        <f t="shared" ref="U7:U26" si="4">(M7*(N7/3+1)*(J7*R7+S7)-(D7*(E7/3+1))*(T7+I7))/100</f>
        <v>3.75</v>
      </c>
    </row>
    <row r="8" s="1" customFormat="1" spans="1:21">
      <c r="A8" s="10" t="s">
        <v>407</v>
      </c>
      <c r="B8" s="11">
        <f t="shared" ref="B8:B26" si="5">40+E8*10</f>
        <v>40</v>
      </c>
      <c r="C8" s="11">
        <f t="shared" ref="C8:C26" si="6">5+E8*5</f>
        <v>5</v>
      </c>
      <c r="D8" s="11">
        <v>150</v>
      </c>
      <c r="E8" s="11">
        <v>0</v>
      </c>
      <c r="F8" s="8">
        <v>0</v>
      </c>
      <c r="G8" s="8">
        <v>100</v>
      </c>
      <c r="H8" s="8">
        <v>100</v>
      </c>
      <c r="I8" s="8">
        <v>0</v>
      </c>
      <c r="J8" s="8">
        <f t="shared" si="0"/>
        <v>35</v>
      </c>
      <c r="K8" s="15">
        <f t="shared" ref="K8:K13" si="7">50+N8*10</f>
        <v>50</v>
      </c>
      <c r="L8" s="15">
        <f t="shared" si="1"/>
        <v>5</v>
      </c>
      <c r="M8" s="14">
        <v>200</v>
      </c>
      <c r="N8" s="15">
        <v>0</v>
      </c>
      <c r="O8" s="14">
        <v>0</v>
      </c>
      <c r="P8" s="14">
        <f t="shared" si="2"/>
        <v>65</v>
      </c>
      <c r="Q8" s="14">
        <v>100</v>
      </c>
      <c r="R8" s="14">
        <v>1</v>
      </c>
      <c r="S8" s="14">
        <v>0</v>
      </c>
      <c r="T8" s="14">
        <f t="shared" si="3"/>
        <v>29.25</v>
      </c>
      <c r="U8" s="10">
        <f t="shared" si="4"/>
        <v>26.125</v>
      </c>
    </row>
    <row r="9" s="1" customFormat="1" spans="1:21">
      <c r="A9" s="10" t="s">
        <v>408</v>
      </c>
      <c r="B9" s="11">
        <f t="shared" si="5"/>
        <v>40</v>
      </c>
      <c r="C9" s="11">
        <f t="shared" si="6"/>
        <v>5</v>
      </c>
      <c r="D9" s="11">
        <v>150</v>
      </c>
      <c r="E9" s="11">
        <v>0</v>
      </c>
      <c r="F9" s="8">
        <v>0</v>
      </c>
      <c r="G9" s="8">
        <v>100</v>
      </c>
      <c r="H9" s="8">
        <v>100</v>
      </c>
      <c r="I9" s="8">
        <v>0</v>
      </c>
      <c r="J9" s="8">
        <f t="shared" si="0"/>
        <v>40</v>
      </c>
      <c r="K9" s="15">
        <f>40+N9*10</f>
        <v>40</v>
      </c>
      <c r="L9" s="15">
        <f t="shared" ref="L9:L14" si="8">0+N9*5</f>
        <v>0</v>
      </c>
      <c r="M9" s="14">
        <v>200</v>
      </c>
      <c r="N9" s="15">
        <v>0</v>
      </c>
      <c r="O9" s="14">
        <v>0</v>
      </c>
      <c r="P9" s="14">
        <f t="shared" si="2"/>
        <v>60</v>
      </c>
      <c r="Q9" s="14">
        <v>100</v>
      </c>
      <c r="R9" s="14">
        <v>1</v>
      </c>
      <c r="S9" s="14">
        <v>0</v>
      </c>
      <c r="T9" s="14">
        <f t="shared" si="3"/>
        <v>21</v>
      </c>
      <c r="U9" s="10">
        <f t="shared" si="4"/>
        <v>48.5</v>
      </c>
    </row>
    <row r="10" s="1" customFormat="1" spans="1:21">
      <c r="A10" s="10" t="s">
        <v>409</v>
      </c>
      <c r="B10" s="11">
        <f t="shared" si="5"/>
        <v>40</v>
      </c>
      <c r="C10" s="11">
        <f t="shared" si="6"/>
        <v>5</v>
      </c>
      <c r="D10" s="11">
        <v>150</v>
      </c>
      <c r="E10" s="11">
        <v>0</v>
      </c>
      <c r="F10" s="8">
        <v>0</v>
      </c>
      <c r="G10" s="8">
        <v>100</v>
      </c>
      <c r="H10" s="8">
        <v>100</v>
      </c>
      <c r="I10" s="8">
        <v>0</v>
      </c>
      <c r="J10" s="8">
        <f t="shared" si="0"/>
        <v>35</v>
      </c>
      <c r="K10" s="15">
        <f>45+N10*10</f>
        <v>45</v>
      </c>
      <c r="L10" s="15">
        <f t="shared" si="1"/>
        <v>5</v>
      </c>
      <c r="M10" s="14">
        <v>250</v>
      </c>
      <c r="N10" s="15">
        <v>0</v>
      </c>
      <c r="O10" s="14">
        <v>0</v>
      </c>
      <c r="P10" s="14">
        <f t="shared" si="2"/>
        <v>65</v>
      </c>
      <c r="Q10" s="14">
        <v>100</v>
      </c>
      <c r="R10" s="14">
        <v>1</v>
      </c>
      <c r="S10" s="14">
        <v>0</v>
      </c>
      <c r="T10" s="14">
        <v>0</v>
      </c>
      <c r="U10" s="10">
        <f t="shared" si="4"/>
        <v>87.5</v>
      </c>
    </row>
    <row r="11" s="1" customFormat="1" spans="1:21">
      <c r="A11" s="10" t="s">
        <v>410</v>
      </c>
      <c r="B11" s="11">
        <f t="shared" si="5"/>
        <v>40</v>
      </c>
      <c r="C11" s="11">
        <f t="shared" si="6"/>
        <v>5</v>
      </c>
      <c r="D11" s="11">
        <v>150</v>
      </c>
      <c r="E11" s="11">
        <v>0</v>
      </c>
      <c r="F11" s="8">
        <v>0</v>
      </c>
      <c r="G11" s="8">
        <v>100</v>
      </c>
      <c r="H11" s="8">
        <v>100</v>
      </c>
      <c r="I11" s="8">
        <v>0</v>
      </c>
      <c r="J11" s="8">
        <f t="shared" si="0"/>
        <v>0</v>
      </c>
      <c r="K11" s="15">
        <f t="shared" si="7"/>
        <v>50</v>
      </c>
      <c r="L11" s="15">
        <f>40+N11*5</f>
        <v>40</v>
      </c>
      <c r="M11" s="14">
        <v>250</v>
      </c>
      <c r="N11" s="15">
        <v>0</v>
      </c>
      <c r="O11" s="14">
        <v>0</v>
      </c>
      <c r="P11" s="14">
        <f t="shared" si="2"/>
        <v>100</v>
      </c>
      <c r="Q11" s="14">
        <f>100+N11*5</f>
        <v>100</v>
      </c>
      <c r="R11" s="14">
        <v>1</v>
      </c>
      <c r="S11" s="14">
        <v>0</v>
      </c>
      <c r="T11" s="14">
        <f t="shared" ref="T11:T16" si="9">(K11-C11)*(P11/Q11)</f>
        <v>45</v>
      </c>
      <c r="U11" s="10">
        <f t="shared" si="4"/>
        <v>-67.5</v>
      </c>
    </row>
    <row r="12" s="1" customFormat="1" spans="1:21">
      <c r="A12" s="10" t="s">
        <v>411</v>
      </c>
      <c r="B12" s="11">
        <f t="shared" si="5"/>
        <v>40</v>
      </c>
      <c r="C12" s="11">
        <f t="shared" si="6"/>
        <v>5</v>
      </c>
      <c r="D12" s="11">
        <v>150</v>
      </c>
      <c r="E12" s="11">
        <v>0</v>
      </c>
      <c r="F12" s="8">
        <v>0</v>
      </c>
      <c r="G12" s="8">
        <v>100</v>
      </c>
      <c r="H12" s="8">
        <v>100</v>
      </c>
      <c r="I12" s="8">
        <v>0</v>
      </c>
      <c r="J12" s="8">
        <f t="shared" si="0"/>
        <v>25</v>
      </c>
      <c r="K12" s="15">
        <f>60+N12*10</f>
        <v>60</v>
      </c>
      <c r="L12" s="15">
        <f>15+N12*5</f>
        <v>15</v>
      </c>
      <c r="M12" s="14">
        <v>300</v>
      </c>
      <c r="N12" s="15">
        <v>0</v>
      </c>
      <c r="O12" s="14">
        <v>0</v>
      </c>
      <c r="P12" s="14">
        <f t="shared" si="2"/>
        <v>75</v>
      </c>
      <c r="Q12" s="14">
        <v>100</v>
      </c>
      <c r="R12" s="14">
        <v>1</v>
      </c>
      <c r="S12" s="14">
        <v>0</v>
      </c>
      <c r="T12" s="14">
        <f t="shared" si="9"/>
        <v>41.25</v>
      </c>
      <c r="U12" s="10">
        <f t="shared" si="4"/>
        <v>13.125</v>
      </c>
    </row>
    <row r="13" s="1" customFormat="1" spans="1:21">
      <c r="A13" s="10" t="s">
        <v>412</v>
      </c>
      <c r="B13" s="11">
        <f t="shared" si="5"/>
        <v>40</v>
      </c>
      <c r="C13" s="11">
        <f t="shared" si="6"/>
        <v>5</v>
      </c>
      <c r="D13" s="11">
        <v>150</v>
      </c>
      <c r="E13" s="11">
        <v>0</v>
      </c>
      <c r="F13" s="8">
        <v>0</v>
      </c>
      <c r="G13" s="8">
        <v>100</v>
      </c>
      <c r="H13" s="8">
        <v>100</v>
      </c>
      <c r="I13" s="8">
        <v>0</v>
      </c>
      <c r="J13" s="8">
        <f t="shared" si="0"/>
        <v>40</v>
      </c>
      <c r="K13" s="15">
        <f t="shared" si="7"/>
        <v>50</v>
      </c>
      <c r="L13" s="15">
        <f t="shared" si="8"/>
        <v>0</v>
      </c>
      <c r="M13" s="14">
        <v>300</v>
      </c>
      <c r="N13" s="15">
        <v>0</v>
      </c>
      <c r="O13" s="14">
        <v>0</v>
      </c>
      <c r="P13" s="14">
        <f t="shared" si="2"/>
        <v>60</v>
      </c>
      <c r="Q13" s="14">
        <v>100</v>
      </c>
      <c r="R13" s="14">
        <v>1</v>
      </c>
      <c r="S13" s="14">
        <v>0</v>
      </c>
      <c r="T13" s="14">
        <f t="shared" si="9"/>
        <v>27</v>
      </c>
      <c r="U13" s="10">
        <f t="shared" si="4"/>
        <v>79.5</v>
      </c>
    </row>
    <row r="14" s="1" customFormat="1" spans="1:21">
      <c r="A14" s="10" t="s">
        <v>413</v>
      </c>
      <c r="B14" s="11">
        <f t="shared" si="5"/>
        <v>40</v>
      </c>
      <c r="C14" s="11">
        <f t="shared" si="6"/>
        <v>5</v>
      </c>
      <c r="D14" s="11">
        <v>150</v>
      </c>
      <c r="E14" s="11">
        <v>0</v>
      </c>
      <c r="F14" s="8">
        <v>0</v>
      </c>
      <c r="G14" s="8">
        <v>100</v>
      </c>
      <c r="H14" s="8">
        <v>100</v>
      </c>
      <c r="I14" s="8">
        <v>0</v>
      </c>
      <c r="J14" s="8">
        <f t="shared" si="0"/>
        <v>40</v>
      </c>
      <c r="K14" s="15">
        <f>45+N14*5</f>
        <v>45</v>
      </c>
      <c r="L14" s="15">
        <f t="shared" si="8"/>
        <v>0</v>
      </c>
      <c r="M14" s="14">
        <v>400</v>
      </c>
      <c r="N14" s="15">
        <v>0</v>
      </c>
      <c r="O14" s="14">
        <v>0</v>
      </c>
      <c r="P14" s="14">
        <f t="shared" si="2"/>
        <v>60</v>
      </c>
      <c r="Q14" s="14">
        <v>100</v>
      </c>
      <c r="R14" s="14">
        <v>1</v>
      </c>
      <c r="S14" s="14">
        <v>0</v>
      </c>
      <c r="T14" s="14">
        <f t="shared" si="9"/>
        <v>24</v>
      </c>
      <c r="U14" s="10">
        <f t="shared" si="4"/>
        <v>124</v>
      </c>
    </row>
    <row r="15" s="1" customFormat="1" spans="1:21">
      <c r="A15" s="10" t="s">
        <v>414</v>
      </c>
      <c r="B15" s="11">
        <f t="shared" si="5"/>
        <v>40</v>
      </c>
      <c r="C15" s="11">
        <f t="shared" si="6"/>
        <v>5</v>
      </c>
      <c r="D15" s="11">
        <v>150</v>
      </c>
      <c r="E15" s="11">
        <v>0</v>
      </c>
      <c r="F15" s="8">
        <v>0</v>
      </c>
      <c r="G15" s="8">
        <v>100</v>
      </c>
      <c r="H15" s="8">
        <v>100</v>
      </c>
      <c r="I15" s="8">
        <v>0</v>
      </c>
      <c r="J15" s="8">
        <f t="shared" si="0"/>
        <v>30</v>
      </c>
      <c r="K15" s="15">
        <f>50+N15*5</f>
        <v>50</v>
      </c>
      <c r="L15" s="15">
        <f>10+N15*5</f>
        <v>10</v>
      </c>
      <c r="M15" s="14">
        <v>400</v>
      </c>
      <c r="N15" s="15">
        <v>0</v>
      </c>
      <c r="O15" s="14">
        <v>0</v>
      </c>
      <c r="P15" s="14">
        <f t="shared" si="2"/>
        <v>70</v>
      </c>
      <c r="Q15" s="14">
        <v>100</v>
      </c>
      <c r="R15" s="14">
        <v>1</v>
      </c>
      <c r="S15" s="14">
        <v>0</v>
      </c>
      <c r="T15" s="14">
        <f t="shared" si="9"/>
        <v>31.5</v>
      </c>
      <c r="U15" s="10">
        <f t="shared" si="4"/>
        <v>72.75</v>
      </c>
    </row>
    <row r="16" s="1" customFormat="1" spans="1:21">
      <c r="A16" s="10" t="s">
        <v>415</v>
      </c>
      <c r="B16" s="11">
        <f t="shared" si="5"/>
        <v>40</v>
      </c>
      <c r="C16" s="11">
        <f t="shared" si="6"/>
        <v>5</v>
      </c>
      <c r="D16" s="11">
        <v>150</v>
      </c>
      <c r="E16" s="11">
        <v>0</v>
      </c>
      <c r="F16" s="8">
        <v>0</v>
      </c>
      <c r="G16" s="8">
        <v>100</v>
      </c>
      <c r="H16" s="8">
        <v>100</v>
      </c>
      <c r="I16" s="8">
        <v>0</v>
      </c>
      <c r="J16" s="8">
        <f t="shared" si="0"/>
        <v>20</v>
      </c>
      <c r="K16" s="15">
        <f>55+N16*5</f>
        <v>55</v>
      </c>
      <c r="L16" s="15">
        <f t="shared" ref="L16:L18" si="10">20+N16*5</f>
        <v>20</v>
      </c>
      <c r="M16" s="14">
        <v>500</v>
      </c>
      <c r="N16" s="15">
        <v>0</v>
      </c>
      <c r="O16" s="14">
        <v>0</v>
      </c>
      <c r="P16" s="14">
        <f t="shared" si="2"/>
        <v>80</v>
      </c>
      <c r="Q16" s="14">
        <v>100</v>
      </c>
      <c r="R16" s="14">
        <v>1</v>
      </c>
      <c r="S16" s="14">
        <v>0</v>
      </c>
      <c r="T16" s="14">
        <f t="shared" si="9"/>
        <v>40</v>
      </c>
      <c r="U16" s="10">
        <f t="shared" si="4"/>
        <v>40</v>
      </c>
    </row>
    <row r="17" s="1" customFormat="1" spans="1:21">
      <c r="A17" s="10" t="s">
        <v>416</v>
      </c>
      <c r="B17" s="11">
        <f t="shared" si="5"/>
        <v>40</v>
      </c>
      <c r="C17" s="11">
        <f t="shared" si="6"/>
        <v>5</v>
      </c>
      <c r="D17" s="11">
        <v>150</v>
      </c>
      <c r="E17" s="11">
        <v>0</v>
      </c>
      <c r="F17" s="8">
        <v>0</v>
      </c>
      <c r="G17" s="8">
        <v>100</v>
      </c>
      <c r="H17" s="8">
        <v>100</v>
      </c>
      <c r="I17" s="8">
        <v>0</v>
      </c>
      <c r="J17" s="8">
        <f t="shared" si="0"/>
        <v>20</v>
      </c>
      <c r="K17" s="14">
        <f>70+N17*10</f>
        <v>70</v>
      </c>
      <c r="L17" s="14">
        <f t="shared" si="10"/>
        <v>20</v>
      </c>
      <c r="M17" s="14">
        <v>500</v>
      </c>
      <c r="N17" s="14">
        <v>0</v>
      </c>
      <c r="O17" s="14">
        <v>0</v>
      </c>
      <c r="P17" s="14">
        <f t="shared" si="2"/>
        <v>80</v>
      </c>
      <c r="Q17" s="14">
        <v>100</v>
      </c>
      <c r="R17" s="14">
        <v>1</v>
      </c>
      <c r="S17" s="14">
        <v>0</v>
      </c>
      <c r="T17" s="14">
        <f>(K17-C17)*1</f>
        <v>65</v>
      </c>
      <c r="U17" s="10">
        <f t="shared" si="4"/>
        <v>2.5</v>
      </c>
    </row>
    <row r="18" s="1" customFormat="1" spans="1:21">
      <c r="A18" s="10" t="s">
        <v>417</v>
      </c>
      <c r="B18" s="11">
        <f t="shared" si="5"/>
        <v>40</v>
      </c>
      <c r="C18" s="11">
        <f t="shared" si="6"/>
        <v>5</v>
      </c>
      <c r="D18" s="11">
        <v>150</v>
      </c>
      <c r="E18" s="11">
        <v>0</v>
      </c>
      <c r="F18" s="8">
        <v>0</v>
      </c>
      <c r="G18" s="8">
        <v>100</v>
      </c>
      <c r="H18" s="8">
        <v>100</v>
      </c>
      <c r="I18" s="8">
        <v>0</v>
      </c>
      <c r="J18" s="8">
        <f t="shared" si="0"/>
        <v>20</v>
      </c>
      <c r="K18" s="14">
        <f>75+N18*10</f>
        <v>75</v>
      </c>
      <c r="L18" s="14">
        <f t="shared" si="10"/>
        <v>20</v>
      </c>
      <c r="M18" s="14">
        <v>600</v>
      </c>
      <c r="N18" s="15">
        <v>0</v>
      </c>
      <c r="O18" s="14">
        <v>0</v>
      </c>
      <c r="P18" s="14">
        <f t="shared" si="2"/>
        <v>80</v>
      </c>
      <c r="Q18" s="14">
        <v>100</v>
      </c>
      <c r="R18" s="14">
        <v>1</v>
      </c>
      <c r="S18" s="14">
        <v>0</v>
      </c>
      <c r="T18" s="14">
        <f t="shared" ref="T18:T21" si="11">(K18-C18)*(P18/Q18)</f>
        <v>56</v>
      </c>
      <c r="U18" s="10">
        <f t="shared" si="4"/>
        <v>36</v>
      </c>
    </row>
    <row r="19" s="1" customFormat="1" spans="1:21">
      <c r="A19" s="10" t="s">
        <v>418</v>
      </c>
      <c r="B19" s="11">
        <f t="shared" si="5"/>
        <v>40</v>
      </c>
      <c r="C19" s="11">
        <f t="shared" si="6"/>
        <v>5</v>
      </c>
      <c r="D19" s="11">
        <v>150</v>
      </c>
      <c r="E19" s="11">
        <v>0</v>
      </c>
      <c r="F19" s="8">
        <v>0</v>
      </c>
      <c r="G19" s="8">
        <v>100</v>
      </c>
      <c r="H19" s="8">
        <v>100</v>
      </c>
      <c r="I19" s="8">
        <v>0</v>
      </c>
      <c r="J19" s="8">
        <f t="shared" si="0"/>
        <v>10</v>
      </c>
      <c r="K19" s="14">
        <f>55+N19*5</f>
        <v>55</v>
      </c>
      <c r="L19" s="14">
        <f>30+N19*5</f>
        <v>30</v>
      </c>
      <c r="M19" s="14">
        <v>600</v>
      </c>
      <c r="N19" s="14">
        <v>0</v>
      </c>
      <c r="O19" s="14">
        <v>0</v>
      </c>
      <c r="P19" s="14">
        <f t="shared" si="2"/>
        <v>90</v>
      </c>
      <c r="Q19" s="14">
        <f>100+N19*25</f>
        <v>100</v>
      </c>
      <c r="R19" s="14">
        <v>1</v>
      </c>
      <c r="S19" s="14">
        <v>0</v>
      </c>
      <c r="T19" s="14">
        <f t="shared" si="11"/>
        <v>45</v>
      </c>
      <c r="U19" s="10">
        <f t="shared" si="4"/>
        <v>-7.5</v>
      </c>
    </row>
    <row r="20" s="1" customFormat="1" spans="1:21">
      <c r="A20" s="10" t="s">
        <v>419</v>
      </c>
      <c r="B20" s="11">
        <f t="shared" si="5"/>
        <v>40</v>
      </c>
      <c r="C20" s="11">
        <f t="shared" si="6"/>
        <v>5</v>
      </c>
      <c r="D20" s="11">
        <v>150</v>
      </c>
      <c r="E20" s="11">
        <v>0</v>
      </c>
      <c r="F20" s="8">
        <v>0</v>
      </c>
      <c r="G20" s="8">
        <v>100</v>
      </c>
      <c r="H20" s="8">
        <v>100</v>
      </c>
      <c r="I20" s="8">
        <v>0</v>
      </c>
      <c r="J20" s="8">
        <f t="shared" si="0"/>
        <v>30</v>
      </c>
      <c r="K20" s="14">
        <f>55+N20*10</f>
        <v>55</v>
      </c>
      <c r="L20" s="14">
        <f>10+N20*5</f>
        <v>10</v>
      </c>
      <c r="M20" s="14">
        <v>600</v>
      </c>
      <c r="N20" s="15">
        <v>0</v>
      </c>
      <c r="O20" s="14">
        <v>0</v>
      </c>
      <c r="P20" s="14">
        <f t="shared" si="2"/>
        <v>70</v>
      </c>
      <c r="Q20" s="14">
        <f>100+N20*10</f>
        <v>100</v>
      </c>
      <c r="R20" s="14">
        <v>1</v>
      </c>
      <c r="S20" s="14">
        <v>0</v>
      </c>
      <c r="T20" s="14">
        <f t="shared" si="11"/>
        <v>35</v>
      </c>
      <c r="U20" s="10">
        <f t="shared" si="4"/>
        <v>127.5</v>
      </c>
    </row>
    <row r="21" s="1" customFormat="1" spans="1:21">
      <c r="A21" s="10" t="s">
        <v>420</v>
      </c>
      <c r="B21" s="11">
        <f t="shared" si="5"/>
        <v>40</v>
      </c>
      <c r="C21" s="11">
        <f t="shared" si="6"/>
        <v>5</v>
      </c>
      <c r="D21" s="11">
        <v>150</v>
      </c>
      <c r="E21" s="11">
        <v>0</v>
      </c>
      <c r="F21" s="8">
        <v>0</v>
      </c>
      <c r="G21" s="8">
        <v>100</v>
      </c>
      <c r="H21" s="8">
        <v>100</v>
      </c>
      <c r="I21" s="8">
        <v>0</v>
      </c>
      <c r="J21" s="8">
        <f t="shared" si="0"/>
        <v>40</v>
      </c>
      <c r="K21" s="14">
        <f>40+N21*5</f>
        <v>40</v>
      </c>
      <c r="L21" s="14">
        <f>0+N21*5</f>
        <v>0</v>
      </c>
      <c r="M21" s="14">
        <v>600</v>
      </c>
      <c r="N21" s="14">
        <v>0</v>
      </c>
      <c r="O21" s="14">
        <v>0</v>
      </c>
      <c r="P21" s="14">
        <f t="shared" si="2"/>
        <v>60</v>
      </c>
      <c r="Q21" s="14">
        <v>100</v>
      </c>
      <c r="R21" s="14">
        <v>1</v>
      </c>
      <c r="S21" s="14">
        <v>0</v>
      </c>
      <c r="T21" s="14">
        <f t="shared" si="11"/>
        <v>21</v>
      </c>
      <c r="U21" s="10">
        <f t="shared" si="4"/>
        <v>208.5</v>
      </c>
    </row>
    <row r="22" s="1" customFormat="1" spans="1:21">
      <c r="A22" s="10" t="s">
        <v>421</v>
      </c>
      <c r="B22" s="11">
        <f t="shared" si="5"/>
        <v>40</v>
      </c>
      <c r="C22" s="11">
        <f t="shared" si="6"/>
        <v>5</v>
      </c>
      <c r="D22" s="11">
        <v>150</v>
      </c>
      <c r="E22" s="11">
        <v>0</v>
      </c>
      <c r="F22" s="8">
        <v>0</v>
      </c>
      <c r="G22" s="8">
        <v>100</v>
      </c>
      <c r="H22" s="8">
        <v>100</v>
      </c>
      <c r="I22" s="8">
        <v>0</v>
      </c>
      <c r="J22" s="8">
        <f t="shared" si="0"/>
        <v>35</v>
      </c>
      <c r="K22" s="14">
        <f>60+N22*5</f>
        <v>60</v>
      </c>
      <c r="L22" s="14">
        <f>5+N22*5</f>
        <v>5</v>
      </c>
      <c r="M22" s="14">
        <v>800</v>
      </c>
      <c r="N22" s="15">
        <v>0</v>
      </c>
      <c r="O22" s="14">
        <v>0</v>
      </c>
      <c r="P22" s="14">
        <f t="shared" si="2"/>
        <v>65</v>
      </c>
      <c r="Q22" s="14">
        <v>100</v>
      </c>
      <c r="R22" s="14">
        <v>1</v>
      </c>
      <c r="S22" s="14">
        <v>0</v>
      </c>
      <c r="T22" s="14">
        <v>0</v>
      </c>
      <c r="U22" s="10">
        <f t="shared" si="4"/>
        <v>280</v>
      </c>
    </row>
    <row r="23" s="1" customFormat="1" spans="1:21">
      <c r="A23" s="10" t="s">
        <v>422</v>
      </c>
      <c r="B23" s="11">
        <f t="shared" si="5"/>
        <v>40</v>
      </c>
      <c r="C23" s="11">
        <f t="shared" si="6"/>
        <v>5</v>
      </c>
      <c r="D23" s="11">
        <v>150</v>
      </c>
      <c r="E23" s="11">
        <v>0</v>
      </c>
      <c r="F23" s="8">
        <v>0</v>
      </c>
      <c r="G23" s="8">
        <v>100</v>
      </c>
      <c r="H23" s="8">
        <v>100</v>
      </c>
      <c r="I23" s="8">
        <v>0</v>
      </c>
      <c r="J23" s="8">
        <f t="shared" si="0"/>
        <v>20</v>
      </c>
      <c r="K23" s="14">
        <f>60+N23*10</f>
        <v>60</v>
      </c>
      <c r="L23" s="14">
        <f>20+N23*5</f>
        <v>20</v>
      </c>
      <c r="M23" s="14">
        <v>800</v>
      </c>
      <c r="N23" s="14">
        <v>0</v>
      </c>
      <c r="O23" s="14">
        <v>0</v>
      </c>
      <c r="P23" s="14">
        <f t="shared" si="2"/>
        <v>80</v>
      </c>
      <c r="Q23" s="14">
        <v>100</v>
      </c>
      <c r="R23" s="14">
        <v>1</v>
      </c>
      <c r="S23" s="14">
        <v>0</v>
      </c>
      <c r="T23" s="14">
        <f t="shared" ref="T23:T26" si="12">(K23-C23)*(P23/Q23)</f>
        <v>44</v>
      </c>
      <c r="U23" s="10">
        <f t="shared" si="4"/>
        <v>94</v>
      </c>
    </row>
    <row r="24" s="1" customFormat="1" spans="1:21">
      <c r="A24" s="10" t="s">
        <v>423</v>
      </c>
      <c r="B24" s="11">
        <f t="shared" si="5"/>
        <v>40</v>
      </c>
      <c r="C24" s="11">
        <f t="shared" si="6"/>
        <v>5</v>
      </c>
      <c r="D24" s="11">
        <v>150</v>
      </c>
      <c r="E24" s="11">
        <v>0</v>
      </c>
      <c r="F24" s="8">
        <v>0</v>
      </c>
      <c r="G24" s="8">
        <v>100</v>
      </c>
      <c r="H24" s="8">
        <v>100</v>
      </c>
      <c r="I24" s="8">
        <v>0</v>
      </c>
      <c r="J24" s="8">
        <f t="shared" si="0"/>
        <v>15</v>
      </c>
      <c r="K24" s="14">
        <f>70+N24*10</f>
        <v>70</v>
      </c>
      <c r="L24" s="14">
        <f>25+N24*5</f>
        <v>25</v>
      </c>
      <c r="M24" s="14">
        <v>1000</v>
      </c>
      <c r="N24" s="15">
        <v>0</v>
      </c>
      <c r="O24" s="14">
        <v>0</v>
      </c>
      <c r="P24" s="14">
        <f t="shared" si="2"/>
        <v>85</v>
      </c>
      <c r="Q24" s="14">
        <v>100</v>
      </c>
      <c r="R24" s="14">
        <v>1</v>
      </c>
      <c r="S24" s="14">
        <v>0</v>
      </c>
      <c r="T24" s="14">
        <f>((K24-C24)*(P24/Q24))*1.5</f>
        <v>82.875</v>
      </c>
      <c r="U24" s="10">
        <f t="shared" si="4"/>
        <v>25.6875</v>
      </c>
    </row>
    <row r="25" s="1" customFormat="1" spans="1:21">
      <c r="A25" s="10" t="s">
        <v>424</v>
      </c>
      <c r="B25" s="11">
        <f t="shared" si="5"/>
        <v>40</v>
      </c>
      <c r="C25" s="11">
        <f t="shared" si="6"/>
        <v>5</v>
      </c>
      <c r="D25" s="11">
        <v>150</v>
      </c>
      <c r="E25" s="11">
        <v>0</v>
      </c>
      <c r="F25" s="8">
        <v>0</v>
      </c>
      <c r="G25" s="8">
        <v>100</v>
      </c>
      <c r="H25" s="8">
        <v>100</v>
      </c>
      <c r="I25" s="8">
        <v>0</v>
      </c>
      <c r="J25" s="8">
        <f t="shared" si="0"/>
        <v>20</v>
      </c>
      <c r="K25" s="14">
        <f>60+N25*10</f>
        <v>60</v>
      </c>
      <c r="L25" s="14">
        <f>20+N25*5</f>
        <v>20</v>
      </c>
      <c r="M25" s="14">
        <v>600</v>
      </c>
      <c r="N25" s="14">
        <v>0</v>
      </c>
      <c r="O25" s="14">
        <v>0</v>
      </c>
      <c r="P25" s="14">
        <f t="shared" si="2"/>
        <v>80</v>
      </c>
      <c r="Q25" s="14">
        <v>100</v>
      </c>
      <c r="R25" s="14">
        <v>1</v>
      </c>
      <c r="S25" s="14">
        <v>0</v>
      </c>
      <c r="T25" s="14">
        <f t="shared" si="12"/>
        <v>44</v>
      </c>
      <c r="U25" s="10">
        <f t="shared" si="4"/>
        <v>54</v>
      </c>
    </row>
    <row r="26" s="1" customFormat="1" spans="1:21">
      <c r="A26" s="10" t="s">
        <v>425</v>
      </c>
      <c r="B26" s="11">
        <f t="shared" si="5"/>
        <v>40</v>
      </c>
      <c r="C26" s="11">
        <f t="shared" si="6"/>
        <v>5</v>
      </c>
      <c r="D26" s="11">
        <v>150</v>
      </c>
      <c r="E26" s="11">
        <v>0</v>
      </c>
      <c r="F26" s="8">
        <v>0</v>
      </c>
      <c r="G26" s="8">
        <v>100</v>
      </c>
      <c r="H26" s="8">
        <v>100</v>
      </c>
      <c r="I26" s="8">
        <v>0</v>
      </c>
      <c r="J26" s="8">
        <f t="shared" si="0"/>
        <v>35</v>
      </c>
      <c r="K26" s="14">
        <f>40+N26*10</f>
        <v>40</v>
      </c>
      <c r="L26" s="14">
        <f>5+N26*5</f>
        <v>5</v>
      </c>
      <c r="M26" s="14">
        <v>150</v>
      </c>
      <c r="N26" s="15">
        <v>0</v>
      </c>
      <c r="O26" s="14">
        <v>0</v>
      </c>
      <c r="P26" s="14">
        <f t="shared" si="2"/>
        <v>65</v>
      </c>
      <c r="Q26" s="14">
        <v>100</v>
      </c>
      <c r="R26" s="14">
        <v>1</v>
      </c>
      <c r="S26" s="14">
        <v>0</v>
      </c>
      <c r="T26" s="14">
        <f t="shared" si="12"/>
        <v>22.75</v>
      </c>
      <c r="U26" s="10">
        <f t="shared" si="4"/>
        <v>18.375</v>
      </c>
    </row>
  </sheetData>
  <mergeCells count="14">
    <mergeCell ref="A1:U1"/>
    <mergeCell ref="A2:R2"/>
    <mergeCell ref="S2:U2"/>
    <mergeCell ref="A3:D3"/>
    <mergeCell ref="E3:G3"/>
    <mergeCell ref="H3:J3"/>
    <mergeCell ref="A4:D4"/>
    <mergeCell ref="E4:G4"/>
    <mergeCell ref="H4:J4"/>
    <mergeCell ref="T4:U4"/>
    <mergeCell ref="B5:J5"/>
    <mergeCell ref="K5:T5"/>
    <mergeCell ref="A5:A6"/>
    <mergeCell ref="U5:U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战士</vt:lpstr>
      <vt:lpstr>幽灵</vt:lpstr>
      <vt:lpstr>人鱼</vt:lpstr>
      <vt:lpstr>弓箭手</vt:lpstr>
      <vt:lpstr>史莱姆</vt:lpstr>
      <vt:lpstr>水元素</vt:lpstr>
      <vt:lpstr>黑法</vt:lpstr>
      <vt:lpstr>女巫</vt:lpstr>
      <vt:lpstr>圣骑</vt:lpstr>
      <vt:lpstr>精灵</vt:lpstr>
      <vt:lpstr>狂战士</vt:lpstr>
      <vt:lpstr>狼</vt:lpstr>
      <vt:lpstr>石头人</vt:lpstr>
      <vt:lpstr>冰</vt:lpstr>
      <vt:lpstr>德鲁伊</vt:lpstr>
      <vt:lpstr>投石车</vt:lpstr>
      <vt:lpstr>狼骑</vt:lpstr>
      <vt:lpstr>龙</vt:lpstr>
      <vt:lpstr>王</vt:lpstr>
      <vt:lpstr>骷髅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86159</cp:lastModifiedBy>
  <dcterms:created xsi:type="dcterms:W3CDTF">2024-06-28T03:24:00Z</dcterms:created>
  <dcterms:modified xsi:type="dcterms:W3CDTF">2024-09-28T07:21:25Z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A677C19CB71F4B26B18E071BFBFFF6E7_11</vt:lpwstr>
  </property>
  <property fmtid="{D5CDD505-2E9C-101B-9397-08002B2CF9AE}" pid="3" name="KSOProductBuildVer">
    <vt:lpwstr>2052-11.1.0.12165</vt:lpwstr>
  </property>
  <property fmtid="{D5CDD505-2E9C-101B-9397-08002B2CF9AE}" pid="4" name="KSOReadingLayout">
    <vt:bool>true</vt:bool>
  </property>
</Properties>
</file>